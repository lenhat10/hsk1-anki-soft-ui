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K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6">
      <text>
        <t xml:space="preserve">lượng từ
</t>
      </text>
    </comment>
  </commentList>
</comments>
</file>

<file path=xl/sharedStrings.xml><?xml version="1.0" encoding="utf-8"?>
<sst xmlns="http://schemas.openxmlformats.org/spreadsheetml/2006/main" count="5892" uniqueCount="3628">
  <si>
    <t>SpreadsheetImportPlus v1</t>
  </si>
  <si>
    <t>word</t>
  </si>
  <si>
    <t>pinyin</t>
  </si>
  <si>
    <t>en_meaning</t>
  </si>
  <si>
    <t>vi_meaning</t>
  </si>
  <si>
    <t>pos</t>
  </si>
  <si>
    <t>explain</t>
  </si>
  <si>
    <t>question</t>
  </si>
  <si>
    <t>example</t>
  </si>
  <si>
    <t>example_pinyin</t>
  </si>
  <si>
    <t>example_translated</t>
  </si>
  <si>
    <t>example_en</t>
  </si>
  <si>
    <t>wrong_choices</t>
  </si>
  <si>
    <t>tag_1</t>
  </si>
  <si>
    <t>tag_2</t>
  </si>
  <si>
    <t>tag_3</t>
  </si>
  <si>
    <t>tag_4</t>
  </si>
  <si>
    <t>id</t>
  </si>
  <si>
    <t>_tags</t>
  </si>
  <si>
    <t>buoi_hoc</t>
  </si>
  <si>
    <t>text</t>
  </si>
  <si>
    <t>markdown</t>
  </si>
  <si>
    <t>html</t>
  </si>
  <si>
    <t>星期</t>
  </si>
  <si>
    <t>xīngqī</t>
  </si>
  <si>
    <t>week</t>
  </si>
  <si>
    <t>tuần</t>
  </si>
  <si>
    <t>n</t>
  </si>
  <si>
    <t>Đơn vị thời gian gồm 7 ngày. 📅</t>
  </si>
  <si>
    <t>一个__有七天。</t>
  </si>
  <si>
    <t>一个**星期**有七天。</t>
  </si>
  <si>
    <t>yí gè xīngqī yǒu qī tiān.</t>
  </si>
  <si>
    <t>Một **tuần** có bảy ngày.</t>
  </si>
  <si>
    <t>A week has seven days.</t>
  </si>
  <si>
    <t>fēnzhōng 分钟 | xiǎoshí 小时 | míngzi 名字</t>
  </si>
  <si>
    <t>Chinese</t>
  </si>
  <si>
    <t>HSK</t>
  </si>
  <si>
    <t>HSK1</t>
  </si>
  <si>
    <t>Vocabulary</t>
  </si>
  <si>
    <t>B9</t>
  </si>
  <si>
    <t>x</t>
  </si>
  <si>
    <t>昨天</t>
  </si>
  <si>
    <t>zuótiān</t>
  </si>
  <si>
    <t>yesterday</t>
  </si>
  <si>
    <t>hôm qua</t>
  </si>
  <si>
    <t>Ngày liền trước ngày hôm nay. ⏪</t>
  </si>
  <si>
    <t>__我没有上班。</t>
  </si>
  <si>
    <t>**昨天**我没有上班。</t>
  </si>
  <si>
    <t>zuótiān wǒ méiyǒu shàngbān.</t>
  </si>
  <si>
    <t>**Hôm qua** tôi không đi làm.</t>
  </si>
  <si>
    <t>I didn't go to work yesterday.</t>
  </si>
  <si>
    <t>jīntiān 今天 | míngtiān 明天 | jīnnián 今年</t>
  </si>
  <si>
    <t>明天</t>
  </si>
  <si>
    <t>míngtiān</t>
  </si>
  <si>
    <t>tomorrow</t>
  </si>
  <si>
    <t>ngày mai</t>
  </si>
  <si>
    <t>Ngày tiếp theo của ngày hôm nay. 🌅</t>
  </si>
  <si>
    <t>__我们考试。</t>
  </si>
  <si>
    <t>**明天**我们考试。</t>
  </si>
  <si>
    <t>míngtiān wǒmen kǎoshì.</t>
  </si>
  <si>
    <t>**Ngày mai** chúng tôi thi.</t>
  </si>
  <si>
    <t>We have an exam tomorrow.</t>
  </si>
  <si>
    <t>jīntiān 今天 | zuótiān 昨天 | míngnián 明年</t>
  </si>
  <si>
    <t>今天</t>
  </si>
  <si>
    <t>jīntiān</t>
  </si>
  <si>
    <t>today</t>
  </si>
  <si>
    <t>hôm nay</t>
  </si>
  <si>
    <t>Ngày hiện tại đang diễn ra. ☀️</t>
  </si>
  <si>
    <t>__我们不上班。</t>
  </si>
  <si>
    <t>**今天**我们不上班。</t>
  </si>
  <si>
    <t>jīntiān wǒmen bù shàngbān.</t>
  </si>
  <si>
    <t>**Hôm nay** chúng tôi không đi làm.</t>
  </si>
  <si>
    <t>We don't go to work today.</t>
  </si>
  <si>
    <t>míngtiān 明天 | zuótiān 昨天 | jīnnián 今年</t>
  </si>
  <si>
    <t>天</t>
  </si>
  <si>
    <t>tiān</t>
  </si>
  <si>
    <t>day, sky</t>
  </si>
  <si>
    <t>ngày, trời</t>
  </si>
  <si>
    <t>Đơn vị thời gian 24 giờ hoặc bầu trời. 🌤️</t>
  </si>
  <si>
    <t>今_天气很好。</t>
  </si>
  <si>
    <t>今**天**天气很好。</t>
  </si>
  <si>
    <t>jīntiān tiānqì hěn hǎo.</t>
  </si>
  <si>
    <t>Hôm nay (**ngày**) thời tiết rất tốt.</t>
  </si>
  <si>
    <t>The weather is very good today.</t>
  </si>
  <si>
    <t>nián 年 | yuè 月 | rì 日</t>
  </si>
  <si>
    <t>白天</t>
  </si>
  <si>
    <t>báitiān</t>
  </si>
  <si>
    <t>daytime</t>
  </si>
  <si>
    <t>ban ngày</t>
  </si>
  <si>
    <t>Thời gian có ánh sáng mặt trời trong ngày. ☀️</t>
  </si>
  <si>
    <t>我__上班，晚上学习。</t>
  </si>
  <si>
    <t>我**白天**上班，晚上学习。</t>
  </si>
  <si>
    <t>wǒ báitiān shàngbān, wǎnshang xuéxí.</t>
  </si>
  <si>
    <t>**Ban ngày** tôi đi làm, tối học.</t>
  </si>
  <si>
    <t>I work during the day and study at night.</t>
  </si>
  <si>
    <t>wǎnshang 晚上 | shàngwǔ 上午 | xiàwǔ 下午</t>
  </si>
  <si>
    <t>星期日</t>
  </si>
  <si>
    <t>xīngqīrì</t>
  </si>
  <si>
    <t>Sunday</t>
  </si>
  <si>
    <t>Chủ nhật</t>
  </si>
  <si>
    <t>Ngày cuối cùng trong tuần. ☀️</t>
  </si>
  <si>
    <t>___我在家休息。</t>
  </si>
  <si>
    <t>**星期日**我在家休息。</t>
  </si>
  <si>
    <t>xīngqīrì wǒ zài jiā xiūxi.</t>
  </si>
  <si>
    <t>**Chủ nhật** tôi nghỉ ở nhà.</t>
  </si>
  <si>
    <t>I rest at home on Sunday.</t>
  </si>
  <si>
    <t>xīng qī yī 星期一 | xīng qī èr 星期二 | xīng qī sān 星期三</t>
  </si>
  <si>
    <t>星期天</t>
  </si>
  <si>
    <t>xīngqītiān</t>
  </si>
  <si>
    <t>Ngày cuối tuần (thường dùng trong khẩu ngữ). 🎈</t>
  </si>
  <si>
    <t>___我们一起去玩。</t>
  </si>
  <si>
    <t>**星期天**我们一起去玩。</t>
  </si>
  <si>
    <t>xīngqītiān wǒmen yìqǐ qù wán.</t>
  </si>
  <si>
    <t>**Chủ nhật** chúng tôi cùng đi chơi.</t>
  </si>
  <si>
    <t>We go out to play together on Sunday.</t>
  </si>
  <si>
    <t>明星</t>
  </si>
  <si>
    <t>míngxīng</t>
  </si>
  <si>
    <t>star, celebrity</t>
  </si>
  <si>
    <t>ngôi sao</t>
  </si>
  <si>
    <t>Người nổi tiếng trong lĩnh vực nghệ thuật, giải trí. 🌟</t>
  </si>
  <si>
    <t>她是一个大__。</t>
  </si>
  <si>
    <t>她是一个大**明星**。</t>
  </si>
  <si>
    <t>tā shì yí gè dà míngxīng.</t>
  </si>
  <si>
    <t>Cô ấy là một **ngôi sao** lớn.</t>
  </si>
  <si>
    <t>She is a big star.</t>
  </si>
  <si>
    <t>yīshēng 医生 | lǎoshī 老师 | xuésheng 学生</t>
  </si>
  <si>
    <t>学期</t>
  </si>
  <si>
    <t>xuéqī</t>
  </si>
  <si>
    <t>semester</t>
  </si>
  <si>
    <t>học kỳ</t>
  </si>
  <si>
    <t>Một phần của năm học tại trường. 🏫</t>
  </si>
  <si>
    <t>这个__我很忙。</t>
  </si>
  <si>
    <t>这个**学期**我很忙。</t>
  </si>
  <si>
    <t>zhège xuéqī wǒ hěn máng.</t>
  </si>
  <si>
    <t>**Học kỳ** này tôi rất bận.</t>
  </si>
  <si>
    <t>I am very busy this semester.</t>
  </si>
  <si>
    <t>xīngqī 星期 | shíjiān 时间 | shíhou 时候</t>
  </si>
  <si>
    <t>星期二</t>
  </si>
  <si>
    <t>xīngqīèr</t>
  </si>
  <si>
    <t>Tuesday</t>
  </si>
  <si>
    <t>thứ Ba</t>
  </si>
  <si>
    <t>Ngày thứ hai trong tuần làm việc. 📅</t>
  </si>
  <si>
    <t>明天是___。</t>
  </si>
  <si>
    <t>明天是**星期二**。</t>
  </si>
  <si>
    <t>míngtiān shì xīngqīèr.</t>
  </si>
  <si>
    <t>Ngày mai là **thứ Ba**.</t>
  </si>
  <si>
    <t>Tomorrow is Tuesday.</t>
  </si>
  <si>
    <t>xīngqīsān 星期三 | xīngqīsì 星期四 | xīngqīwǔ 星期五</t>
  </si>
  <si>
    <t>星期一</t>
  </si>
  <si>
    <t>xīngqīyī</t>
  </si>
  <si>
    <t>Monday</t>
  </si>
  <si>
    <t>thứ Hai</t>
  </si>
  <si>
    <t>Ngày đầu tiên trong tuần làm việc. 📅</t>
  </si>
  <si>
    <t>今天是___。</t>
  </si>
  <si>
    <t>今天是**星期一**。</t>
  </si>
  <si>
    <t>jīntiān shì xīngqīyī.</t>
  </si>
  <si>
    <t>Hôm nay là **thứ Hai**.</t>
  </si>
  <si>
    <t>Today is Monday.</t>
  </si>
  <si>
    <t>xīngqīèr 星期二 | xīngqīsān 星期三 | xīngqīsì 星期四</t>
  </si>
  <si>
    <t>星期四</t>
  </si>
  <si>
    <t>xīngqīsì</t>
  </si>
  <si>
    <t>Thursday</t>
  </si>
  <si>
    <t>thứ Năm</t>
  </si>
  <si>
    <t>Ngày thứ tư trong tuần làm việc. 📅</t>
  </si>
  <si>
    <t>我们___去学校。</t>
  </si>
  <si>
    <t>我们**星期四**去学校。</t>
  </si>
  <si>
    <t>wǒmen xīngqīsì qù xuéxiào.</t>
  </si>
  <si>
    <t>Chúng tôi đi học vào **thứ Năm**.</t>
  </si>
  <si>
    <t>We go to school on Thursday.</t>
  </si>
  <si>
    <t>xīngqīwǔ 星期五 | xīngqīliù 星期六 | xīngqītiān 星期天</t>
  </si>
  <si>
    <t>星期五</t>
  </si>
  <si>
    <t>xīngqīwǔ</t>
  </si>
  <si>
    <t>Friday</t>
  </si>
  <si>
    <t>thứ Sáu</t>
  </si>
  <si>
    <t>Ngày làm việc cuối cùng trong tuần của nhiều người. 📅</t>
  </si>
  <si>
    <t>他___不在家。</t>
  </si>
  <si>
    <t>他**星期五**不在家。</t>
  </si>
  <si>
    <t>tā xīngqīwǔ bù zài jiā.</t>
  </si>
  <si>
    <t>Anh ấy không có nhà vào **thứ Sáu**.</t>
  </si>
  <si>
    <t>He is not at home on Friday.</t>
  </si>
  <si>
    <t>xīngqīliù 星期六 | xīngqītiān 星期天 | xīngqīyī 星期一</t>
  </si>
  <si>
    <t>星期三</t>
  </si>
  <si>
    <t>xīngqīsān</t>
  </si>
  <si>
    <t>Wednesday</t>
  </si>
  <si>
    <t>thứ Tư</t>
  </si>
  <si>
    <t>Ngày giữa tuần làm việc. 📅</t>
  </si>
  <si>
    <t>昨天是___。</t>
  </si>
  <si>
    <t>昨天是**星期三**。</t>
  </si>
  <si>
    <t>zuótiān shì xīngqīsān.</t>
  </si>
  <si>
    <t>Hôm qua là **thứ Tư**.</t>
  </si>
  <si>
    <t>Yesterday was Wednesday.</t>
  </si>
  <si>
    <t>xīngqīsì 星期四 | xīngqīwǔ 星期五 | xīngqīliù 星期六</t>
  </si>
  <si>
    <t>星期六</t>
  </si>
  <si>
    <t>xīngqīliù</t>
  </si>
  <si>
    <t>Saturday</t>
  </si>
  <si>
    <t>thứ Bảy</t>
  </si>
  <si>
    <t>Ngày đầu tiên của kỳ nghỉ cuối tuần. 🎈</t>
  </si>
  <si>
    <t>我___不工作。</t>
  </si>
  <si>
    <t>我**星期六**不工作。</t>
  </si>
  <si>
    <t>wǒ xīngqīliù bù gōngzuò.</t>
  </si>
  <si>
    <t>Tôi không làm việc vào **thứ Bảy**.</t>
  </si>
  <si>
    <t>I don't work on Saturday.</t>
  </si>
  <si>
    <t>xīngqītiān 星期天 | xīngqīrì 星期日 | xīngqīyī 星期一</t>
  </si>
  <si>
    <t>星星</t>
  </si>
  <si>
    <t>xīngxing</t>
  </si>
  <si>
    <t>star</t>
  </si>
  <si>
    <t>Thiên thể phát sáng lấp lánh trên bầu trời đêm. ✨</t>
  </si>
  <si>
    <t>天上的__很漂亮。</t>
  </si>
  <si>
    <t>天上的**星星**很漂亮。</t>
  </si>
  <si>
    <t>tiān shang de xīngxing hěn piàoliang.</t>
  </si>
  <si>
    <t>Những **ngôi sao** trên trời rất đẹp.</t>
  </si>
  <si>
    <t>The stars in the sky are very beautiful.</t>
  </si>
  <si>
    <t>píngguǒ 苹果 | dōngxi 东西 | shuǐguǒ 水果</t>
  </si>
  <si>
    <t>号</t>
  </si>
  <si>
    <t>hào</t>
  </si>
  <si>
    <t>date, number</t>
  </si>
  <si>
    <t>số, ngày</t>
  </si>
  <si>
    <t>Chỉ ngày trong tháng hoặc số thứ tự. 📅</t>
  </si>
  <si>
    <t>今天是五月一_。</t>
  </si>
  <si>
    <t>今天是五月一**号**。</t>
  </si>
  <si>
    <t>jīntiān shì wǔ yuè yī hào.</t>
  </si>
  <si>
    <t>Hôm nay là **ngày** 1 tháng 5.</t>
  </si>
  <si>
    <t>Today is May 1st.</t>
  </si>
  <si>
    <t>diǎn 点 | fēn 分 | nián 年</t>
  </si>
  <si>
    <t>B8</t>
  </si>
  <si>
    <t>小时</t>
  </si>
  <si>
    <t>xiǎoshí</t>
  </si>
  <si>
    <t>hour</t>
  </si>
  <si>
    <t>giờ</t>
  </si>
  <si>
    <t>Đơn vị đo thời gian, bằng 60 phút. ⏳</t>
  </si>
  <si>
    <t>我每天学习两个__。</t>
  </si>
  <si>
    <t>我每天学习两个**小时**。</t>
  </si>
  <si>
    <t>wǒ měitiān xuéxí liǎng gè xiǎoshí.</t>
  </si>
  <si>
    <t>Tôi học hai **tiếng** (giờ) mỗi ngày.</t>
  </si>
  <si>
    <t>I study for two hours every day.</t>
  </si>
  <si>
    <t>fēnzhōng 分钟 | xīngqī 星期 | míngzi 名字</t>
  </si>
  <si>
    <t>多</t>
  </si>
  <si>
    <t>duō</t>
  </si>
  <si>
    <t>many, much</t>
  </si>
  <si>
    <t>nhiều</t>
  </si>
  <si>
    <t>adj</t>
  </si>
  <si>
    <t>Số lượng vượt quá mức bình thường. ➕</t>
  </si>
  <si>
    <t>今天人很_。</t>
  </si>
  <si>
    <t>今天人很**多**。</t>
  </si>
  <si>
    <t>jīntiān rén hěn duō.</t>
  </si>
  <si>
    <t>Hôm nay rất đông (rất **nhiều**) người.</t>
  </si>
  <si>
    <t>There are many people today.</t>
  </si>
  <si>
    <t>shǎo 少 | dà 大 | xiǎo 小</t>
  </si>
  <si>
    <t>天气</t>
  </si>
  <si>
    <t>tiānqì</t>
  </si>
  <si>
    <t>weather</t>
  </si>
  <si>
    <t>thời tiết</t>
  </si>
  <si>
    <t>Trạng thái khí tượng tại một thời điểm. ⛅</t>
  </si>
  <si>
    <t>今天的__很热。</t>
  </si>
  <si>
    <t>今天的**天气**很热。</t>
  </si>
  <si>
    <t>jīntiān de tiānqì hěn rè.</t>
  </si>
  <si>
    <t>**Thời tiết** hôm nay rất nóng.</t>
  </si>
  <si>
    <t>The weather today is very hot.</t>
  </si>
  <si>
    <t>shíjiān 时间 | shíhou 时候 | míngzi 名字</t>
  </si>
  <si>
    <t>十</t>
  </si>
  <si>
    <t>shí</t>
  </si>
  <si>
    <t>ten</t>
  </si>
  <si>
    <t>mười</t>
  </si>
  <si>
    <t>Số đếm, đứng sau số 9 và trước số 11. 🔟</t>
  </si>
  <si>
    <t>_点见。</t>
  </si>
  <si>
    <t>**十**点见。</t>
  </si>
  <si>
    <t>shí diǎn jiàn.</t>
  </si>
  <si>
    <t>Gặp lúc **10** giờ.</t>
  </si>
  <si>
    <t>See you at ten o'clock.</t>
  </si>
  <si>
    <t>bā 八 | jiǔ 九 | qī 七</t>
  </si>
  <si>
    <t>七</t>
  </si>
  <si>
    <t>qī</t>
  </si>
  <si>
    <t>seven</t>
  </si>
  <si>
    <t>bảy</t>
  </si>
  <si>
    <t>Số đếm, đứng sau số 6 và trước số 8. 7️⃣</t>
  </si>
  <si>
    <t>我_点起床。</t>
  </si>
  <si>
    <t>我**七**点起床。</t>
  </si>
  <si>
    <t>wǒ qī diǎn qǐchuáng.</t>
  </si>
  <si>
    <t>Tôi dậy lúc **7** giờ.</t>
  </si>
  <si>
    <t>I get up at seven o'clock.</t>
  </si>
  <si>
    <t>bā 八 | jiǔ 九 | shí 十</t>
  </si>
  <si>
    <t>九</t>
  </si>
  <si>
    <t>jiǔ</t>
  </si>
  <si>
    <t>nine</t>
  </si>
  <si>
    <t>chín</t>
  </si>
  <si>
    <t>Số đếm, đứng sau số 8 và trước số 10. 9️⃣</t>
  </si>
  <si>
    <t>现在_点了。</t>
  </si>
  <si>
    <t>现在**九**点了。</t>
  </si>
  <si>
    <t>xiànzài jiǔ diǎn le.</t>
  </si>
  <si>
    <t>Bây giờ là **9** giờ.</t>
  </si>
  <si>
    <t>It is nine o'clock now.</t>
  </si>
  <si>
    <t>bā 八 | shí 十 | qī 七</t>
  </si>
  <si>
    <t>千</t>
  </si>
  <si>
    <t>qiān</t>
  </si>
  <si>
    <t>thousand</t>
  </si>
  <si>
    <t>nghìn</t>
  </si>
  <si>
    <t>Đơn vị đếm hàng nghìn. 💰</t>
  </si>
  <si>
    <t>这台电脑三_块。</t>
  </si>
  <si>
    <t>这台电脑三**千**块。</t>
  </si>
  <si>
    <t>zhè tái diànnǎo sān qiān kuài.</t>
  </si>
  <si>
    <t>Máy tính này 3.**000** (nghìn) tệ.</t>
  </si>
  <si>
    <t>This computer is three thousand yuan.</t>
  </si>
  <si>
    <t>bǎi 百 | shí 十 | kuài 块</t>
  </si>
  <si>
    <t>个</t>
  </si>
  <si>
    <t>gè</t>
  </si>
  <si>
    <t>measure word</t>
  </si>
  <si>
    <t>cái</t>
  </si>
  <si>
    <t>Lượng từ phổ biến nhất trong tiếng Trung. 🍎</t>
  </si>
  <si>
    <t>我有三_中国朋友。</t>
  </si>
  <si>
    <t>我有三**个**中国朋友。</t>
  </si>
  <si>
    <t>wǒ yǒu sān gè zhōngguó péngyou.</t>
  </si>
  <si>
    <t>Tôi có ba **người** bạn Trung Quốc.</t>
  </si>
  <si>
    <t>I have three Chinese friends.</t>
  </si>
  <si>
    <t>běn 本 | jiàn 件 | zhī 只</t>
  </si>
  <si>
    <t>和</t>
  </si>
  <si>
    <t>hé</t>
  </si>
  <si>
    <t>and</t>
  </si>
  <si>
    <t>và</t>
  </si>
  <si>
    <t>phó từ</t>
  </si>
  <si>
    <t>Dùng để nối hai danh từ hoặc đại từ. 🔗</t>
  </si>
  <si>
    <t>我_同学一起学习。</t>
  </si>
  <si>
    <t>我**和**同学一起学习。</t>
  </si>
  <si>
    <t>wǒ hé tóngxué yìqǐ xuéxí.</t>
  </si>
  <si>
    <t>Tôi **và** bạn học cùng học.</t>
  </si>
  <si>
    <t>My classmate and I study together.</t>
  </si>
  <si>
    <t>de 的 | le 了 | ma 吗</t>
  </si>
  <si>
    <t>岁</t>
  </si>
  <si>
    <t>suì</t>
  </si>
  <si>
    <t>year of age</t>
  </si>
  <si>
    <t>tuổi</t>
  </si>
  <si>
    <t>Đơn vị tính tuổi tác của con người. 🎂</t>
  </si>
  <si>
    <t>他今年十_。</t>
  </si>
  <si>
    <t>他今年十**岁**。</t>
  </si>
  <si>
    <t>tā jīnnián shí suì.</t>
  </si>
  <si>
    <t>Năm nay cậu ấy 10 **tuổi**.</t>
  </si>
  <si>
    <t>He is ten years old this year.</t>
  </si>
  <si>
    <t>哥哥</t>
  </si>
  <si>
    <t>gēge</t>
  </si>
  <si>
    <t>older brother</t>
  </si>
  <si>
    <t>anh trai</t>
  </si>
  <si>
    <t>Người con trai sinh trước mình trong gia đình. 👦</t>
  </si>
  <si>
    <t>我__比我高。</t>
  </si>
  <si>
    <t>我**哥哥**比我高。</t>
  </si>
  <si>
    <t>wǒ gēge bǐ wǒ gāo.</t>
  </si>
  <si>
    <t>**Anh trai** tôi cao hơn tôi.</t>
  </si>
  <si>
    <t>My older brother is taller than me.</t>
  </si>
  <si>
    <t>dìdi 弟弟 | jiějie 姐姐 | mèimei 妹妹</t>
  </si>
  <si>
    <t>少</t>
  </si>
  <si>
    <t>shǎo</t>
  </si>
  <si>
    <t>few, little</t>
  </si>
  <si>
    <t>ít</t>
  </si>
  <si>
    <t>Số lượng không nhiều. ➖</t>
  </si>
  <si>
    <t>这里人很_。</t>
  </si>
  <si>
    <t>这里人很**少**。</t>
  </si>
  <si>
    <t>zhèlǐ rén hěn shǎo.</t>
  </si>
  <si>
    <t>Ở đây rất **ít** người.</t>
  </si>
  <si>
    <t>There are very few people here.</t>
  </si>
  <si>
    <t>duō 多 | dà 大 | xiǎo 小</t>
  </si>
  <si>
    <t>几</t>
  </si>
  <si>
    <t>jǐ</t>
  </si>
  <si>
    <t>how many</t>
  </si>
  <si>
    <t>mấy</t>
  </si>
  <si>
    <t>Dùng để hỏi số lượng (thường dưới 10). 🔢</t>
  </si>
  <si>
    <t>你有_个兄弟姐妹？</t>
  </si>
  <si>
    <t>你有**几**个兄弟姐妹？</t>
  </si>
  <si>
    <t>nǐ yǒu jǐ gè xiōngdì jiěmèi?</t>
  </si>
  <si>
    <t>Bạn có **mấy** anh chị em?</t>
  </si>
  <si>
    <t>How many siblings do you have?</t>
  </si>
  <si>
    <t>duō 多 | shǎo 少 | shí 十</t>
  </si>
  <si>
    <t>一</t>
  </si>
  <si>
    <t>yī</t>
  </si>
  <si>
    <t>one</t>
  </si>
  <si>
    <t>một</t>
  </si>
  <si>
    <t>Số đếm đầu tiên. 1️⃣</t>
  </si>
  <si>
    <t>我只有_个问题。</t>
  </si>
  <si>
    <t>我只有**一**个问题。</t>
  </si>
  <si>
    <t>wǒ zhǐ yǒu yí gè wèntí.</t>
  </si>
  <si>
    <t>Tôi chỉ có **một** câu hỏi.</t>
  </si>
  <si>
    <t>I only have one question.</t>
  </si>
  <si>
    <t>èr 二 | sān 三 | sì 四</t>
  </si>
  <si>
    <t>女儿</t>
  </si>
  <si>
    <t>nǚér</t>
  </si>
  <si>
    <t>daughter</t>
  </si>
  <si>
    <t>con gái</t>
  </si>
  <si>
    <t>Người con mang giới tính nữ của cha mẹ. 👧</t>
  </si>
  <si>
    <t>他有一个__。</t>
  </si>
  <si>
    <t>他有一个**女儿**。</t>
  </si>
  <si>
    <t>tā yǒu yí gè nǚ'ér.</t>
  </si>
  <si>
    <t>Anh ấy có một **con gái**.</t>
  </si>
  <si>
    <t>He has a daughter.</t>
  </si>
  <si>
    <t>érzi 儿子 | péngyou 朋友 | tóngxué 同学</t>
  </si>
  <si>
    <t>口</t>
  </si>
  <si>
    <t>kǒu</t>
  </si>
  <si>
    <t>mouth, measure word</t>
  </si>
  <si>
    <t>miệng | người</t>
  </si>
  <si>
    <t>Lượng từ dùng để đếm số thành viên trong gia đình. 👄</t>
  </si>
  <si>
    <t>我家有五_人。</t>
  </si>
  <si>
    <t>我家有五**口**人。</t>
  </si>
  <si>
    <t>wǒ jiā yǒu wǔ kǒu rén.</t>
  </si>
  <si>
    <t>Nhà tôi có 5 **người**.</t>
  </si>
  <si>
    <t>My family has five people.</t>
  </si>
  <si>
    <t>gè 个 | běn 本 | jiàn 件</t>
  </si>
  <si>
    <t>本</t>
  </si>
  <si>
    <t>běn</t>
  </si>
  <si>
    <t>Book</t>
  </si>
  <si>
    <t>quyển</t>
  </si>
  <si>
    <t>Lượng từ dùng cho sách, vở, từ điển. 📖</t>
  </si>
  <si>
    <t>我买了一_汉语书。</t>
  </si>
  <si>
    <t>我买了一**本**汉语书。</t>
  </si>
  <si>
    <t>wǒ mǎi le yì běn hànyǔ shū.</t>
  </si>
  <si>
    <t>Tôi mua một **quyển** sách tiếng Trung.</t>
  </si>
  <si>
    <t>I bought a Chinese book.</t>
  </si>
  <si>
    <t>gè 个 | jiàn 件 | zhī 只</t>
  </si>
  <si>
    <t>去年</t>
  </si>
  <si>
    <t>qùnián</t>
  </si>
  <si>
    <t>last year</t>
  </si>
  <si>
    <t>năm ngoái</t>
  </si>
  <si>
    <t>Năm liền trước năm hiện tại. 🔙</t>
  </si>
  <si>
    <t>__我开始学习汉语。</t>
  </si>
  <si>
    <t>**去年**我开始学习汉语。</t>
  </si>
  <si>
    <t>qùnián wǒ kāishǐ xuéxí hànyǔ.</t>
  </si>
  <si>
    <t>**Năm ngoái** tôi bắt đầu học tiếng Trung.</t>
  </si>
  <si>
    <t>I started learning Chinese last year.</t>
  </si>
  <si>
    <t>jīnnián 今年 | míngnián 明年 | zuótiān 昨天</t>
  </si>
  <si>
    <t>明年</t>
  </si>
  <si>
    <t>míngnián</t>
  </si>
  <si>
    <t>next year</t>
  </si>
  <si>
    <t>năm sau</t>
  </si>
  <si>
    <t>Năm tiếp theo của năm hiện tại. 📅</t>
  </si>
  <si>
    <t>__我要去中国。</t>
  </si>
  <si>
    <t>**明年**我要去中国。</t>
  </si>
  <si>
    <t>míngnián wǒ yào qù zhōngguó.</t>
  </si>
  <si>
    <t>**Năm sau** tôi sẽ đi Trung Quốc.</t>
  </si>
  <si>
    <t>I will go to China next year.</t>
  </si>
  <si>
    <t>jīnnián 今年 | qùnián 去年 | míngtiān 明天</t>
  </si>
  <si>
    <t>五</t>
  </si>
  <si>
    <t>wǔ</t>
  </si>
  <si>
    <t>five</t>
  </si>
  <si>
    <t>năm</t>
  </si>
  <si>
    <t>Số đếm, đứng sau số 4 và trước số 6. 5️⃣</t>
  </si>
  <si>
    <t>我_点下班。</t>
  </si>
  <si>
    <t>我**五**点下班。</t>
  </si>
  <si>
    <t>wǒ wǔ diǎn xiàbān.</t>
  </si>
  <si>
    <t>Tôi tan làm lúc **5** giờ.</t>
  </si>
  <si>
    <t>I get off work at five o'clock.</t>
  </si>
  <si>
    <t>liù 六 | qī 七 | bā 八</t>
  </si>
  <si>
    <t>呢</t>
  </si>
  <si>
    <t>ne</t>
  </si>
  <si>
    <t>question particle</t>
  </si>
  <si>
    <t>trợ từ</t>
  </si>
  <si>
    <t>Dùng ở cuối câu để hỏi ngược lại. 🔄</t>
  </si>
  <si>
    <t>你_？</t>
  </si>
  <si>
    <t>你**呢**？</t>
  </si>
  <si>
    <t>nǐ ne?</t>
  </si>
  <si>
    <t>Còn bạn thì sao (**nhỉ**)?</t>
  </si>
  <si>
    <t>What about you?</t>
  </si>
  <si>
    <t>ma 吗 | de 的 | le 了</t>
  </si>
  <si>
    <t>爸爸</t>
  </si>
  <si>
    <t>bàba</t>
  </si>
  <si>
    <t>dad</t>
  </si>
  <si>
    <t>bố</t>
  </si>
  <si>
    <t>Người cha, trụ cột trong gia đình. 👨‍💼</t>
  </si>
  <si>
    <t>我__在公司工作。</t>
  </si>
  <si>
    <t>我**爸爸**在公司工作。</t>
  </si>
  <si>
    <t>wǒ bàba zài gōngsī gōngzuò.</t>
  </si>
  <si>
    <t>**Bố** tôi làm việc ở công ty.</t>
  </si>
  <si>
    <t>My father works in a company.</t>
  </si>
  <si>
    <t>māma 妈妈 | gēge 哥哥 | dìdi 弟弟</t>
  </si>
  <si>
    <t>今年</t>
  </si>
  <si>
    <t>jīnnián</t>
  </si>
  <si>
    <t>this year</t>
  </si>
  <si>
    <t>năm nay</t>
  </si>
  <si>
    <t>Năm hiện tại đang diễn ra. 🗓️</t>
  </si>
  <si>
    <t>**今年**我开始学习汉语。</t>
  </si>
  <si>
    <t>jīnnián wǒ kāishǐ xuéxí hànyǔ.</t>
  </si>
  <si>
    <t>**Năm nay** tôi bắt đầu học tiếng Trung.</t>
  </si>
  <si>
    <t>I start learning Chinese this year.</t>
  </si>
  <si>
    <t>míngnián 明年 | qùnián 去年 | jīntiān 今天</t>
  </si>
  <si>
    <t>月</t>
  </si>
  <si>
    <t>yuè</t>
  </si>
  <si>
    <t>month</t>
  </si>
  <si>
    <t>tháng</t>
  </si>
  <si>
    <t>Đơn vị thời gian, một năm có 12 tháng. 🌙</t>
  </si>
  <si>
    <t>这个_我很忙。</t>
  </si>
  <si>
    <t>这个**月**我很忙。</t>
  </si>
  <si>
    <t>zhège yuè wǒ hěn máng.</t>
  </si>
  <si>
    <t>**Tháng** này tôi rất bận.</t>
  </si>
  <si>
    <t>I am very busy this month.</t>
  </si>
  <si>
    <t>nián 年 | rì 日 | tiān 天</t>
  </si>
  <si>
    <t>儿子</t>
  </si>
  <si>
    <t>érzi</t>
  </si>
  <si>
    <t>son</t>
  </si>
  <si>
    <t>con trai</t>
  </si>
  <si>
    <t>Người con mang giới tính nam của cha mẹ. 👦</t>
  </si>
  <si>
    <t>他有一个**儿子**。</t>
  </si>
  <si>
    <t>tā yǒu yí gè érzi.</t>
  </si>
  <si>
    <t>Anh ấy có một **con trai**.</t>
  </si>
  <si>
    <t>He has a son.</t>
  </si>
  <si>
    <t>nǚ'ér 女儿 | péngyou 朋友 | tóngxué 同学</t>
  </si>
  <si>
    <t>六</t>
  </si>
  <si>
    <t>liù</t>
  </si>
  <si>
    <t>six</t>
  </si>
  <si>
    <t>sáu</t>
  </si>
  <si>
    <t>Số đếm, đứng sau số 5 và trước số 7. 6️⃣</t>
  </si>
  <si>
    <t>我**六**点起床。</t>
  </si>
  <si>
    <t>wǒ liù diǎn qǐchuáng.</t>
  </si>
  <si>
    <t>Tôi dậy lúc **6** giờ.</t>
  </si>
  <si>
    <t>I get up at six o'clock.</t>
  </si>
  <si>
    <t>qī 七 | bā 八 | jiǔ 九</t>
  </si>
  <si>
    <t>没有</t>
  </si>
  <si>
    <t>méiyǒu</t>
  </si>
  <si>
    <t>not have</t>
  </si>
  <si>
    <t>không có</t>
  </si>
  <si>
    <t>v</t>
  </si>
  <si>
    <t>Phủ định sự tồn tại hoặc sở hữu. 🚫</t>
  </si>
  <si>
    <t>我__时间。</t>
  </si>
  <si>
    <t>我**没有**时间。</t>
  </si>
  <si>
    <t>wǒ méiyǒu shíjiān.</t>
  </si>
  <si>
    <t>Tôi **không có** thời gian.</t>
  </si>
  <si>
    <t>I don't have time.</t>
  </si>
  <si>
    <t>rènshi 认识 | zhīdào 知道 | juéde 觉得</t>
  </si>
  <si>
    <t>八</t>
  </si>
  <si>
    <t>bā</t>
  </si>
  <si>
    <t>eight</t>
  </si>
  <si>
    <t>tám</t>
  </si>
  <si>
    <t>Số đếm, đứng sau số 7 và trước số 9. 8️⃣</t>
  </si>
  <si>
    <t>我家有_个人。</t>
  </si>
  <si>
    <t>我家有**八**个人。</t>
  </si>
  <si>
    <t>wǒ jiā yǒu bā gè rén.</t>
  </si>
  <si>
    <t>Nhà tôi có **tám** người.</t>
  </si>
  <si>
    <t>My family has eight people.</t>
  </si>
  <si>
    <t>sān 三 | sì 四 | wǔ 五</t>
  </si>
  <si>
    <t>二</t>
  </si>
  <si>
    <t>èr</t>
  </si>
  <si>
    <t>two</t>
  </si>
  <si>
    <t>hai</t>
  </si>
  <si>
    <t>Số đếm, đứng sau số 1 và trước số 3. 2️⃣</t>
  </si>
  <si>
    <t>我有_十本书。</t>
  </si>
  <si>
    <t>我有**二**十本书。</t>
  </si>
  <si>
    <t>wǒ yǒu èr shí běn shū.</t>
  </si>
  <si>
    <t>Tôi có **hai** mươi quyển sách.</t>
  </si>
  <si>
    <t>I have twenty books.</t>
  </si>
  <si>
    <t>百</t>
  </si>
  <si>
    <t>bǎi</t>
  </si>
  <si>
    <t>Hundred</t>
  </si>
  <si>
    <t>trăm</t>
  </si>
  <si>
    <t>Đơn vị đếm hàng trăm. 💯</t>
  </si>
  <si>
    <t>这本书一_块钱。</t>
  </si>
  <si>
    <t>这本书一**百**块钱。</t>
  </si>
  <si>
    <t>zhè běn shū yì bǎi kuài qián.</t>
  </si>
  <si>
    <t>Quyển sách này 100 tệ (một **trăm** tệ).</t>
  </si>
  <si>
    <t>This book is one hundred yuan.</t>
  </si>
  <si>
    <t>shí 十 | qiān 千 | kuài 块</t>
  </si>
  <si>
    <t>有</t>
  </si>
  <si>
    <t>yǒu</t>
  </si>
  <si>
    <t>have, there is</t>
  </si>
  <si>
    <t>có</t>
  </si>
  <si>
    <t>Biểu thị sự sở hữu hoặc tồn tại. 🤲</t>
  </si>
  <si>
    <t>我很多朋友。</t>
  </si>
  <si>
    <t>我**有**很多朋友。</t>
  </si>
  <si>
    <t>wǒ yǒu hěn duō péngyou.</t>
  </si>
  <si>
    <t>Tôi **có** nhiều bạn bè.</t>
  </si>
  <si>
    <t>I have many friends.</t>
  </si>
  <si>
    <t>shì 是 | jiào 叫 | kàn 看</t>
  </si>
  <si>
    <t>三</t>
  </si>
  <si>
    <t>sān</t>
  </si>
  <si>
    <t>three</t>
  </si>
  <si>
    <t>ba</t>
  </si>
  <si>
    <t>Số đếm, đứng sau số 2 và trước số 4. 3️⃣</t>
  </si>
  <si>
    <t>我有_本书。</t>
  </si>
  <si>
    <t>我有**三**本书。</t>
  </si>
  <si>
    <t>wǒ yǒu sān běn shū.</t>
  </si>
  <si>
    <t>Tôi có **ba** quyển sách.</t>
  </si>
  <si>
    <t>I have three books.</t>
  </si>
  <si>
    <t>sì 四 | wǔ 五 | liù 六</t>
  </si>
  <si>
    <t>它</t>
  </si>
  <si>
    <t>tā</t>
  </si>
  <si>
    <t>it</t>
  </si>
  <si>
    <t>nó</t>
  </si>
  <si>
    <t>Đại từ nhân xưng ngôi thứ ba chỉ vật, động vật. 🐾</t>
  </si>
  <si>
    <t>那只猫很可爱，我很喜欢_。</t>
  </si>
  <si>
    <t>那只猫很可爱，我很喜欢**它**。</t>
  </si>
  <si>
    <t>nà zhī māo hěn kě'ài, wǒ hěn xǐhuan tā.</t>
  </si>
  <si>
    <t>Con mèo kia rất đáng yêu, tôi rất thích **nó**.</t>
  </si>
  <si>
    <t>That cat is very cute, I like it very much.</t>
  </si>
  <si>
    <t>tā 他 | tā 她 | wǒ 我</t>
  </si>
  <si>
    <t>她</t>
  </si>
  <si>
    <t>she, her</t>
  </si>
  <si>
    <t>cô ấy</t>
  </si>
  <si>
    <t>Đại từ nhân xưng ngôi thứ ba số ít (nữ). 👩</t>
  </si>
  <si>
    <t>_是我的汉语老师。</t>
  </si>
  <si>
    <t>**她**是我的汉语老师。</t>
  </si>
  <si>
    <t>tā shì wǒ de hànyǔ lǎoshī.</t>
  </si>
  <si>
    <t>**Cô ấy** là giáo viên tiếng Trung của tôi.</t>
  </si>
  <si>
    <t>She is my Chinese teacher.</t>
  </si>
  <si>
    <t>tā 他 | wǒ 我 | nǐ 你</t>
  </si>
  <si>
    <t>它们</t>
  </si>
  <si>
    <t>tāmen</t>
  </si>
  <si>
    <t>they, them (things)</t>
  </si>
  <si>
    <t>chúng (đồ vật|con vật)</t>
  </si>
  <si>
    <t>Đại từ số nhiều chỉ đồ vật, động vật. 📦</t>
  </si>
  <si>
    <t>这些书很新，我很喜欢__。</t>
  </si>
  <si>
    <t>这些书很新，我很喜欢**它们**。</t>
  </si>
  <si>
    <t>zhèxiē shū shì xīn de, wǒ hěn xǐhuan tāmen.</t>
  </si>
  <si>
    <t>Những quyển sách này rất mới, tôi rất thích **chúng**.</t>
  </si>
  <si>
    <t>These books are very new, I like them very much.</t>
  </si>
  <si>
    <t>tāmen 他们 | tāmen 她们 | wǒmen 我们</t>
  </si>
  <si>
    <t>她们</t>
  </si>
  <si>
    <t>they, them (females)</t>
  </si>
  <si>
    <t>họ (nữ)</t>
  </si>
  <si>
    <t>Đại từ số nhiều chỉ nhóm người toàn nữ. 👭</t>
  </si>
  <si>
    <t>__是我的同学。</t>
  </si>
  <si>
    <t>**她们**是我的同学。</t>
  </si>
  <si>
    <t>tāmen shì wǒ de tóngxué.</t>
  </si>
  <si>
    <t>**Họ** là bạn học của tôi.</t>
  </si>
  <si>
    <t>They are my classmates.</t>
  </si>
  <si>
    <t>tāmen 他们 | wǒmen 我们 | nǐmen 你们</t>
  </si>
  <si>
    <t>他</t>
  </si>
  <si>
    <t>he, him</t>
  </si>
  <si>
    <t>anh ấy</t>
  </si>
  <si>
    <t>Đại từ nhân xưng ngôi thứ ba số ít (nam). 👨</t>
  </si>
  <si>
    <t>_是我的好朋友。</t>
  </si>
  <si>
    <t>**他**是我的好朋友。</t>
  </si>
  <si>
    <t>tā shì wǒ de hǎo péngyou.</t>
  </si>
  <si>
    <t>**Anh ấy** là bạn tốt của tôi.</t>
  </si>
  <si>
    <t>He is my good friend.</t>
  </si>
  <si>
    <t>wǒ 我 | nǐ 你 | tā 她</t>
  </si>
  <si>
    <t>他们</t>
  </si>
  <si>
    <t>they, them</t>
  </si>
  <si>
    <t>họ (nam|nhiều)</t>
  </si>
  <si>
    <t>Đại từ nhân xưng ngôi thứ ba số nhiều. 👥</t>
  </si>
  <si>
    <t>__都是大学生。</t>
  </si>
  <si>
    <t>**他们**都是大学生。</t>
  </si>
  <si>
    <t>tāmen dōu shì dàxuéshēng.</t>
  </si>
  <si>
    <t>**Họ** đều là sinh viên.</t>
  </si>
  <si>
    <t>They are all university students.</t>
  </si>
  <si>
    <t>wǒmen 我们 | nǐmen 你们 | tāmen 她们</t>
  </si>
  <si>
    <t>四</t>
  </si>
  <si>
    <t>sì</t>
  </si>
  <si>
    <t>four</t>
  </si>
  <si>
    <t>bốn</t>
  </si>
  <si>
    <t>Số đếm, đứng sau số 3 và trước số 5. 4️⃣</t>
  </si>
  <si>
    <t>我**四**点下班。</t>
  </si>
  <si>
    <t>wǒ sì diǎn xiàbān.</t>
  </si>
  <si>
    <t>Tôi tan làm lúc **4** giờ.</t>
  </si>
  <si>
    <t>I get off work at four o'clock.</t>
  </si>
  <si>
    <t>wǔ 五 | liù 六 | qī 七</t>
  </si>
  <si>
    <t>孩子</t>
  </si>
  <si>
    <t>háizi</t>
  </si>
  <si>
    <t>child</t>
  </si>
  <si>
    <t>trẻ em</t>
  </si>
  <si>
    <t>Trẻ nhỏ hoặc con cái trong gia đình. 👶</t>
  </si>
  <si>
    <t>这个__很聪明。</t>
  </si>
  <si>
    <t>这个**孩子**很聪明。</t>
  </si>
  <si>
    <t>zhège háizi hěn cōngming.</t>
  </si>
  <si>
    <t>Đứa **trẻ** này rất thông minh.</t>
  </si>
  <si>
    <t>This child is very smart.</t>
  </si>
  <si>
    <t>xuésheng 学生 | lǎoshī 老师 | yīshēng 医生</t>
  </si>
  <si>
    <t>零</t>
  </si>
  <si>
    <t>líng</t>
  </si>
  <si>
    <t>zero</t>
  </si>
  <si>
    <t>số không</t>
  </si>
  <si>
    <t>Số 0, biểu thị không có gì. 0️⃣</t>
  </si>
  <si>
    <t>现在是_点。</t>
  </si>
  <si>
    <t>现在是**零**点。</t>
  </si>
  <si>
    <t>xiànzài shì líng diǎn.</t>
  </si>
  <si>
    <t>Bây giờ là **0** giờ.</t>
  </si>
  <si>
    <t>It is zero o'clock now.</t>
  </si>
  <si>
    <t>yī 一 | èr 二 | sān 三</t>
  </si>
  <si>
    <t>日</t>
  </si>
  <si>
    <t>rì</t>
  </si>
  <si>
    <t>day, sun</t>
  </si>
  <si>
    <t>ngày</t>
  </si>
  <si>
    <t>Ngày trong tháng hoặc mặt trời. 📅</t>
  </si>
  <si>
    <t>今天是星期_。</t>
  </si>
  <si>
    <t>今天是星期**日**。</t>
  </si>
  <si>
    <t>jīntiān shì xīngqīrì.</t>
  </si>
  <si>
    <t>Hôm nay là Chủ **nhật** (ngày).</t>
  </si>
  <si>
    <t>Today is Sunday.</t>
  </si>
  <si>
    <t>yuè 月 | nián 年 | tiān 天</t>
  </si>
  <si>
    <t>年</t>
  </si>
  <si>
    <t>nián</t>
  </si>
  <si>
    <t>year</t>
  </si>
  <si>
    <t>Đơn vị thời gian gồm 12 tháng. 🗓️</t>
  </si>
  <si>
    <t>我学汉语两_了。</t>
  </si>
  <si>
    <t>我学汉语两**年**了。</t>
  </si>
  <si>
    <t>wǒ xué hànyǔ liǎng nián le.</t>
  </si>
  <si>
    <t>Tôi học tiếng Trung đã hai **năm**.</t>
  </si>
  <si>
    <t>I have studied Chinese for two years.</t>
  </si>
  <si>
    <t>yuè 月 | rì 日 | tiān 天</t>
  </si>
  <si>
    <t>多少</t>
  </si>
  <si>
    <t>duōshǎo</t>
  </si>
  <si>
    <t>how many, how much</t>
  </si>
  <si>
    <t>bao nhiêu</t>
  </si>
  <si>
    <t>Dùng để hỏi về số lượng. ❓</t>
  </si>
  <si>
    <t>这个__钱？</t>
  </si>
  <si>
    <t>这个**多少**钱？</t>
  </si>
  <si>
    <t>zhège duōshao qián?</t>
  </si>
  <si>
    <t>Cái này **bao nhiêu** tiền?</t>
  </si>
  <si>
    <t>How much is this?</t>
  </si>
  <si>
    <t>zěnme 怎么 | nǎlǐ 哪里 | shénme 什么</t>
  </si>
  <si>
    <t>日本</t>
  </si>
  <si>
    <t>Rìběn</t>
  </si>
  <si>
    <t>Japan</t>
  </si>
  <si>
    <t>Nhật Bản</t>
  </si>
  <si>
    <t>Một quốc gia nằm ở khu vực Đông Á. 🇯🇵</t>
  </si>
  <si>
    <t>他是一个__人。</t>
  </si>
  <si>
    <t>他是一个**日本**人。</t>
  </si>
  <si>
    <t>tā shì yí gè rìběn rén.</t>
  </si>
  <si>
    <t>Anh ấy là người **Nhật Bản**.</t>
  </si>
  <si>
    <t>He is a Japanese person.</t>
  </si>
  <si>
    <t>zhōngguó 中国 | běijīng 北京 | hànyǔ 汉语</t>
  </si>
  <si>
    <t>生日</t>
  </si>
  <si>
    <t>shēngrì</t>
  </si>
  <si>
    <t>birthday</t>
  </si>
  <si>
    <t>sinh nhật</t>
  </si>
  <si>
    <t>Ngày kỷ niệm một người được sinh ra đời. 🎂</t>
  </si>
  <si>
    <t>祝你__快乐！</t>
  </si>
  <si>
    <t>祝你**生日**快乐！</t>
  </si>
  <si>
    <t>zhù nǐ shēngrì kuàilè!</t>
  </si>
  <si>
    <t>Chúc bạn **sinh nhật** vui vẻ!</t>
  </si>
  <si>
    <t>Happy birthday to you!</t>
  </si>
  <si>
    <t>míngzi 名字 | shíjiān 时间 | shíhou 时候</t>
  </si>
  <si>
    <t>多大</t>
  </si>
  <si>
    <t>duōdà</t>
  </si>
  <si>
    <t>how old / how big</t>
  </si>
  <si>
    <t>bao nhiêu tuổi / lớn bao nhiêu</t>
  </si>
  <si>
    <t>phrase</t>
  </si>
  <si>
    <t>Dùng để hỏi về tuổi tác hoặc kích thước. 📏</t>
  </si>
  <si>
    <t>你儿子今年__？</t>
  </si>
  <si>
    <t>你儿子今年**多大**？</t>
  </si>
  <si>
    <t>nǐ érzi jīnnián duōdà?</t>
  </si>
  <si>
    <t>Con trai bạn năm nay **bao nhiêu tuổi**?</t>
  </si>
  <si>
    <t>How old is your son this year?</t>
  </si>
  <si>
    <t>duōshao 多少 | zěnme 怎么 | nǎlǐ 哪里</t>
  </si>
  <si>
    <t>山</t>
  </si>
  <si>
    <t>shān</t>
  </si>
  <si>
    <t>mountain</t>
  </si>
  <si>
    <t>núi</t>
  </si>
  <si>
    <t>Địa hình tự nhiên nhô cao rõ rệt so với mặt đất xung quanh. ⛰️</t>
  </si>
  <si>
    <t>那个_很高。</t>
  </si>
  <si>
    <t>那个**山**很高。</t>
  </si>
  <si>
    <t>nà ge shān hěn gāo.</t>
  </si>
  <si>
    <t>Ngọn **núi** kia rất cao.</t>
  </si>
  <si>
    <t>That mountain is very high.</t>
  </si>
  <si>
    <t>shuǐ 水 | tiān 天 | yǔ 雨</t>
  </si>
  <si>
    <t>万</t>
  </si>
  <si>
    <t>Đơn vị số đếm, bằng mười nghìn. 💰</t>
  </si>
  <si>
    <t>这辆车要五_块钱。</t>
  </si>
  <si>
    <t>这辆车要五**万**块钱。</t>
  </si>
  <si>
    <t>zhè liàng chē yào wǔ wàn kuài qián.</t>
  </si>
  <si>
    <t>Chiếc xe này giá năm **vạn** (50.000) tệ.</t>
  </si>
  <si>
    <t>This car costs fifty thousand yuan.</t>
  </si>
  <si>
    <t>bǎi 百 | qiān 千 | shí 十</t>
  </si>
  <si>
    <t>小</t>
  </si>
  <si>
    <t>xiǎo</t>
  </si>
  <si>
    <t>small</t>
  </si>
  <si>
    <t>nhỏ</t>
  </si>
  <si>
    <t>Kích thước bé, không lớn. 🐜</t>
  </si>
  <si>
    <t>这只猫很_。</t>
  </si>
  <si>
    <t>这只猫很**小**。</t>
  </si>
  <si>
    <t>zhè zhī māo hěn xiǎo.</t>
  </si>
  <si>
    <t>Con mèo này rất **nhỏ**.</t>
  </si>
  <si>
    <t>This cat is very small.</t>
  </si>
  <si>
    <t>dà 大 | duō 多 | shǎo 少</t>
  </si>
  <si>
    <t>B7</t>
  </si>
  <si>
    <t>小朋友</t>
  </si>
  <si>
    <t>xiǎopéngyǒu</t>
  </si>
  <si>
    <t>Cách gọi thân mật dành cho trẻ nhỏ. 🧒</t>
  </si>
  <si>
    <t>___都很喜欢这个游戏。</t>
  </si>
  <si>
    <t>**小朋友**都很喜欢这个游戏。</t>
  </si>
  <si>
    <t>xiǎopéngyou dōu hěn xǐhuan zhège yóuxì.</t>
  </si>
  <si>
    <t>**Trẻ em** đều rất thích trò chơi này.</t>
  </si>
  <si>
    <t>Children all like this game very much.</t>
  </si>
  <si>
    <t>dàxuéshēng 大学生 | zhōngxuéshēng 中学生 | nánpéngyou 男朋友</t>
  </si>
  <si>
    <t>谁</t>
  </si>
  <si>
    <t>shéi</t>
  </si>
  <si>
    <t>who</t>
  </si>
  <si>
    <t>ai</t>
  </si>
  <si>
    <t>Đại từ nghi vấn dùng để hỏi về người. 👤</t>
  </si>
  <si>
    <t>那个人是_？</t>
  </si>
  <si>
    <t>那个人是**谁**？</t>
  </si>
  <si>
    <t>nà gè rén shì shéi?</t>
  </si>
  <si>
    <t>Người kia là **ai**?</t>
  </si>
  <si>
    <t>Who is that person?</t>
  </si>
  <si>
    <t>wǒ 我 | nǐ 你 | tā 他</t>
  </si>
  <si>
    <t>女士</t>
  </si>
  <si>
    <t>nǚshì</t>
  </si>
  <si>
    <t>lady, madam</t>
  </si>
  <si>
    <t>quý bà|cô</t>
  </si>
  <si>
    <t>Cách gọi lịch sự dành cho phụ nữ. 👩‍💼</t>
  </si>
  <si>
    <t>这位__很有礼貌。</t>
  </si>
  <si>
    <t>这位**女士**很有礼貌。</t>
  </si>
  <si>
    <t>zhè wèi nǚshì hěn yǒu lǐmào.</t>
  </si>
  <si>
    <t>**Quý cô** này rất lịch sự.</t>
  </si>
  <si>
    <t>This lady is very polite.</t>
  </si>
  <si>
    <t>xiānsheng 先生 | lǎoshī 老师 | yīshēng 医生</t>
  </si>
  <si>
    <t>认识</t>
  </si>
  <si>
    <t>rènshi</t>
  </si>
  <si>
    <t>know, recognize</t>
  </si>
  <si>
    <t>quen biết</t>
  </si>
  <si>
    <t>Biết mặt, biết tên hoặc có giao tiếp với ai đó. 🤝</t>
  </si>
  <si>
    <t>我__他很久了。</t>
  </si>
  <si>
    <t>我**认识**他很久了。</t>
  </si>
  <si>
    <t>wǒ rènshi tā hěn jiǔ le.</t>
  </si>
  <si>
    <t>Tôi **quen** anh ấy lâu rồi.</t>
  </si>
  <si>
    <t>I have known him for a long time.</t>
  </si>
  <si>
    <t>zhīdào 知道 | juéde 觉得 | xǐhuan 喜欢</t>
  </si>
  <si>
    <t>听见</t>
  </si>
  <si>
    <t>tīngjiàn</t>
  </si>
  <si>
    <t>hear</t>
  </si>
  <si>
    <t>nghe thấy</t>
  </si>
  <si>
    <t>Kết quả của hành động nghe. 🎵</t>
  </si>
  <si>
    <t>我在外面__你的声音。</t>
  </si>
  <si>
    <t>我在外面**听见**你的声音。</t>
  </si>
  <si>
    <t>wǒ zài wàimiàn tīngjiàn nǐ de shēngyīn.</t>
  </si>
  <si>
    <t>Tôi **nghe thấy** giọng bạn ở bên ngoài.</t>
  </si>
  <si>
    <t>I heard your voice outside.</t>
  </si>
  <si>
    <t>kànjiàn 看见 | zhīdào 知道 | rènshi 认识</t>
  </si>
  <si>
    <t>B6</t>
  </si>
  <si>
    <t>好</t>
  </si>
  <si>
    <t>hǎo</t>
  </si>
  <si>
    <t>good</t>
  </si>
  <si>
    <t>tốt, khỏe</t>
  </si>
  <si>
    <t>Đạt tiêu chuẩn cao, mang lại cảm giác tích cực. 👍</t>
  </si>
  <si>
    <t>这家学校很_。</t>
  </si>
  <si>
    <t>这家学校很**好**。</t>
  </si>
  <si>
    <t>zhè jiā xuéxiào hěn hǎo.</t>
  </si>
  <si>
    <t>Ngôi trường này rất **tốt**.</t>
  </si>
  <si>
    <t>This school is very good.</t>
  </si>
  <si>
    <t>dà 大 | xiǎo 小 | duō 多</t>
  </si>
  <si>
    <t>家</t>
  </si>
  <si>
    <t>jiā</t>
  </si>
  <si>
    <t>family, home</t>
  </si>
  <si>
    <t>nhà</t>
  </si>
  <si>
    <t>Nơi sinh sống của gia đình. 🏡</t>
  </si>
  <si>
    <t>我_离学校很近。</t>
  </si>
  <si>
    <t>我**家**离学校很近。</t>
  </si>
  <si>
    <t>wǒ jiā lí xuéxiào hěn jìn.</t>
  </si>
  <si>
    <t>**Nhà** tôi gần trường.</t>
  </si>
  <si>
    <t>My home is very close to the school.</t>
  </si>
  <si>
    <t>diàn 店 | guó 国 | rén 人</t>
  </si>
  <si>
    <t>也</t>
  </si>
  <si>
    <t>yě</t>
  </si>
  <si>
    <t>also, too</t>
  </si>
  <si>
    <t>cũng</t>
  </si>
  <si>
    <t>Biểu thị sự tương đồng, giống nhau. 🤝</t>
  </si>
  <si>
    <t>我_喜欢中国菜。</t>
  </si>
  <si>
    <t>我**也**喜欢中国菜。</t>
  </si>
  <si>
    <t>wǒ yě xǐhuan zhōngguó cài.</t>
  </si>
  <si>
    <t>Tôi **cũng** thích món Trung Quốc.</t>
  </si>
  <si>
    <t>I also like Chinese food.</t>
  </si>
  <si>
    <t>dōu 都 | hěn 很 | tài 太</t>
  </si>
  <si>
    <t>还</t>
  </si>
  <si>
    <t>still, yet</t>
  </si>
  <si>
    <t>vẫn, còn</t>
  </si>
  <si>
    <t>Biểu thị hành động hoặc trạng thái tiếp diễn. 🔄</t>
  </si>
  <si>
    <t>他_在学校学习。</t>
  </si>
  <si>
    <t>他**还**在学校学习。</t>
  </si>
  <si>
    <t>tā hái zài xuéxiào xuéxí.</t>
  </si>
  <si>
    <t>Anh ấy **vẫn** còn đang học ở trường.</t>
  </si>
  <si>
    <t>He is still studying at school.</t>
  </si>
  <si>
    <t>dōu 都 | yě 也 | tài 太</t>
  </si>
  <si>
    <t>没关系</t>
  </si>
  <si>
    <t>méiguānxi</t>
  </si>
  <si>
    <t>it doesn't matter</t>
  </si>
  <si>
    <t>không sao</t>
  </si>
  <si>
    <t>Lời đáp lại khi người khác xin lỗi. 🤝</t>
  </si>
  <si>
    <t>___，我们再等一会儿。</t>
  </si>
  <si>
    <t>**没关系**，我们再等一会儿。</t>
  </si>
  <si>
    <t>méi guānxi, wǒmen zài děng yíhuìr.</t>
  </si>
  <si>
    <t>**Không sao**, chúng ta đợi thêm chút.</t>
  </si>
  <si>
    <t>It doesn't matter, let's wait a little longer.</t>
  </si>
  <si>
    <t>duìbuqǐ 对不起 | bú kèqi 不客气 | bù zhī dào 不知道</t>
  </si>
  <si>
    <t>弟弟</t>
  </si>
  <si>
    <t>dìdi</t>
  </si>
  <si>
    <t>younger brother</t>
  </si>
  <si>
    <t>em trai</t>
  </si>
  <si>
    <t>Người con trai sinh sau mình trong gia đình. 👦</t>
  </si>
  <si>
    <t>我__今年十岁。</t>
  </si>
  <si>
    <t>我**弟弟**今年十岁。</t>
  </si>
  <si>
    <t>wǒ dìdi jīnnián shí suì.</t>
  </si>
  <si>
    <t>**Em trai** tôi năm nay 10 tuổi.</t>
  </si>
  <si>
    <t>My younger brother is 10 years old this year.</t>
  </si>
  <si>
    <t>gēge 哥哥 | jiějie 姐姐 | mèimei 妹妹</t>
  </si>
  <si>
    <t>学习</t>
  </si>
  <si>
    <t>xuéxí</t>
  </si>
  <si>
    <t>study, learn</t>
  </si>
  <si>
    <t>học tập</t>
  </si>
  <si>
    <t>Quá trình trau dồi kiến thức. 📚</t>
  </si>
  <si>
    <t>我每天认真__汉语。</t>
  </si>
  <si>
    <t>我每天认真**学习**汉语。</t>
  </si>
  <si>
    <t>wǒ měitiān rènzhēn xuéxí hànyǔ.</t>
  </si>
  <si>
    <t>Tôi **học** tiếng Trung chăm chỉ mỗi ngày.</t>
  </si>
  <si>
    <t>I study Chinese seriously every day.</t>
  </si>
  <si>
    <t>gōngzuò 工作 | xiūxi 休息 | shuìjiào 睡觉</t>
  </si>
  <si>
    <t>妹妹</t>
  </si>
  <si>
    <t>mèimei</t>
  </si>
  <si>
    <t>younger sister</t>
  </si>
  <si>
    <t>em gái</t>
  </si>
  <si>
    <t>Người con gái sinh sau mình trong gia đình. 👧</t>
  </si>
  <si>
    <t>我__在上小学。</t>
  </si>
  <si>
    <t>我**妹妹**在上小学。</t>
  </si>
  <si>
    <t>wǒ mèimei zài shàng xiǎoxué.</t>
  </si>
  <si>
    <t>**Em gái** tôi học tiểu học.</t>
  </si>
  <si>
    <t>My younger sister is in primary school.</t>
  </si>
  <si>
    <t>jiějie 姐姐 | gēge 哥哥 | dìdi 弟弟</t>
  </si>
  <si>
    <t>叫</t>
  </si>
  <si>
    <t>jiào</t>
  </si>
  <si>
    <t>call, be called</t>
  </si>
  <si>
    <t>gọi, tên là</t>
  </si>
  <si>
    <t>Dùng để xưng hô hoặc gọi tên. 🗣️</t>
  </si>
  <si>
    <t>我_小明。</t>
  </si>
  <si>
    <t>我**叫**小明。</t>
  </si>
  <si>
    <t>wǒ jiào xiǎomíng.</t>
  </si>
  <si>
    <t>Tôi **tên là** Tiểu Minh.</t>
  </si>
  <si>
    <t>My name is Xiaoming.</t>
  </si>
  <si>
    <t>shì 是 | yǒu 有 | kàn 看</t>
  </si>
  <si>
    <t>中学</t>
  </si>
  <si>
    <t>zhōngxué</t>
  </si>
  <si>
    <t>middle school</t>
  </si>
  <si>
    <t>trường THCS|THPT</t>
  </si>
  <si>
    <t>Bậc học trung học. 🏫</t>
  </si>
  <si>
    <t>他在__学习。</t>
  </si>
  <si>
    <t>他在**中学**学习。</t>
  </si>
  <si>
    <t>tā zài zhōngxué xuéxí.</t>
  </si>
  <si>
    <t>Cậu ấy học ở trường **trung học**.</t>
  </si>
  <si>
    <t>He studies in a middle school.</t>
  </si>
  <si>
    <t>xiǎoxué 小学 | dàxué 大学 | xuéxiào 学校</t>
  </si>
  <si>
    <t>大学</t>
  </si>
  <si>
    <t>dàxué</t>
  </si>
  <si>
    <t>university</t>
  </si>
  <si>
    <t>đại học</t>
  </si>
  <si>
    <t>Bậc học cao nhất trong hệ thống giáo dục. 🎓</t>
  </si>
  <si>
    <t>她在中国__学习。</t>
  </si>
  <si>
    <t>她在中国**大学**学习。</t>
  </si>
  <si>
    <t>tā zài zhōngguó dàxué xuéxí.</t>
  </si>
  <si>
    <t>Cô ấy học **đại học** ở Trung Quốc.</t>
  </si>
  <si>
    <t>She studies at a university in China.</t>
  </si>
  <si>
    <t>xiǎoxué 小学 | zhōngxué 中学 | xuéxiào 学校</t>
  </si>
  <si>
    <t>中学生</t>
  </si>
  <si>
    <t>zhōngxuéshēng</t>
  </si>
  <si>
    <t>middle school student</t>
  </si>
  <si>
    <t>học sinh THCS|THPT</t>
  </si>
  <si>
    <t>Học sinh đang học trung học. 🎒</t>
  </si>
  <si>
    <t>她是___。</t>
  </si>
  <si>
    <t>她是**中学生**。</t>
  </si>
  <si>
    <t>tā shì zhōngxuéshēng.</t>
  </si>
  <si>
    <t>Cô ấy là **học sinh trung học**.</t>
  </si>
  <si>
    <t>She is a middle school student.</t>
  </si>
  <si>
    <t>xiǎoxuéshēng 小学生 | dàxuéshēng 大学生 | nǚ lǎo shī 女老师</t>
  </si>
  <si>
    <t>大学生</t>
  </si>
  <si>
    <t>dàxuéshēng</t>
  </si>
  <si>
    <t>university student</t>
  </si>
  <si>
    <t>sinh viên</t>
  </si>
  <si>
    <t>Người đang theo học tại trường đại học. 🧑‍🎓</t>
  </si>
  <si>
    <t>他是一名___。</t>
  </si>
  <si>
    <t>他是一名**大学生**。</t>
  </si>
  <si>
    <t>tā shì yì míng dàxuéshēng.</t>
  </si>
  <si>
    <t>Anh ấy là **sinh viên**.</t>
  </si>
  <si>
    <t>He is a university student.</t>
  </si>
  <si>
    <t>xiǎoxuéshēng 小学生 | zhōngxuéshēng 中学生 | nǚ lǎo shī 女老师</t>
  </si>
  <si>
    <t>人</t>
  </si>
  <si>
    <t>rén</t>
  </si>
  <si>
    <t>person, people</t>
  </si>
  <si>
    <t>người</t>
  </si>
  <si>
    <t>Con người nói chung. 🧍‍♂️</t>
  </si>
  <si>
    <t>那里有很多_。</t>
  </si>
  <si>
    <t>那里有很多**人**。</t>
  </si>
  <si>
    <t>nàlǐ yǒu hěn duō rén.</t>
  </si>
  <si>
    <t>Ở đó có rất nhiều **người**.</t>
  </si>
  <si>
    <t>There are many people there.</t>
  </si>
  <si>
    <t>gǒu 狗 | māo 猫 | shū 书</t>
  </si>
  <si>
    <t>B5</t>
  </si>
  <si>
    <t>太</t>
  </si>
  <si>
    <t>tài</t>
  </si>
  <si>
    <t>too, extremely</t>
  </si>
  <si>
    <t>quá</t>
  </si>
  <si>
    <t>Biểu thị mức độ vượt quá giới hạn bình thường. 📈</t>
  </si>
  <si>
    <t>这道菜_辣了。</t>
  </si>
  <si>
    <t>这道菜**太**辣了。</t>
  </si>
  <si>
    <t>zhè dào cài tài là le.</t>
  </si>
  <si>
    <t>Món ăn này cay **quá**.</t>
  </si>
  <si>
    <t>This dish is too spicy.</t>
  </si>
  <si>
    <t>hěn 很 | dōu 都 | yě 也</t>
  </si>
  <si>
    <t>请</t>
  </si>
  <si>
    <t>qǐng</t>
  </si>
  <si>
    <t>please, invite</t>
  </si>
  <si>
    <t>mời</t>
  </si>
  <si>
    <t>Lời đề nghị lịch sự hoặc mời ai đó làm gì. 🙏</t>
  </si>
  <si>
    <t>_坐。</t>
  </si>
  <si>
    <t>**请**坐。</t>
  </si>
  <si>
    <t>qǐng zuò.</t>
  </si>
  <si>
    <t>**Mời** ngồi.</t>
  </si>
  <si>
    <t>Please sit down.</t>
  </si>
  <si>
    <t>kàn 看 | tīng 听 | zhǎo 找</t>
  </si>
  <si>
    <t>请问</t>
  </si>
  <si>
    <t>qǐngwèn</t>
  </si>
  <si>
    <t>excuse me</t>
  </si>
  <si>
    <t>xin hỏi</t>
  </si>
  <si>
    <t>Câu mở đầu lịch sự khi muốn hỏi thông tin. ❓</t>
  </si>
  <si>
    <t>__，洗手间在哪儿？</t>
  </si>
  <si>
    <t>**请问**，洗手间在哪儿？</t>
  </si>
  <si>
    <t>qǐngwèn, xǐshǒujiān zài nǎr?</t>
  </si>
  <si>
    <t>**Xin hỏi**, nhà vệ sinh ở đâu?</t>
  </si>
  <si>
    <t>Excuse me, where is the restroom?</t>
  </si>
  <si>
    <t>xièxie 谢谢 | zàijiàn 再见 | nǐhǎo 你好</t>
  </si>
  <si>
    <t>小学</t>
  </si>
  <si>
    <t>xiǎoxué</t>
  </si>
  <si>
    <t>primary school</t>
  </si>
  <si>
    <t>tiểu học</t>
  </si>
  <si>
    <t>Bậc học đầu tiên trong hệ thống giáo dục. 🏫</t>
  </si>
  <si>
    <t>她在这所__上学。</t>
  </si>
  <si>
    <t>她在这所**小学**上学。</t>
  </si>
  <si>
    <t>tā zài zhè suǒ xiǎoxué shàngxué.</t>
  </si>
  <si>
    <t>Cô ấy học ở trường **tiểu học** này.</t>
  </si>
  <si>
    <t>She goes to this primary school.</t>
  </si>
  <si>
    <t>zhōngxué 中学 | dàxué 大学 | xuéxiào 学校</t>
  </si>
  <si>
    <t>小学生</t>
  </si>
  <si>
    <t>xiǎoxuéshēng</t>
  </si>
  <si>
    <t>primary school student</t>
  </si>
  <si>
    <t>học sinh tiểu học</t>
  </si>
  <si>
    <t>Trẻ em đang học tại trường tiểu học. 🎒</t>
  </si>
  <si>
    <t>这个___很聪明。</t>
  </si>
  <si>
    <t>这个**小学生**很聪明。</t>
  </si>
  <si>
    <t>zhège xiǎoxuéshēng hěn cōngming.</t>
  </si>
  <si>
    <t>**Học sinh tiểu học** này rất thông minh.</t>
  </si>
  <si>
    <t>This primary school student is very smart.</t>
  </si>
  <si>
    <t>zhōngxuéshēng 中学生 | dàxuéshēng 大学生 | nǚ lǎo shī 女老师</t>
  </si>
  <si>
    <t>妈妈</t>
  </si>
  <si>
    <t>māma</t>
  </si>
  <si>
    <t>mother</t>
  </si>
  <si>
    <t>mẹ</t>
  </si>
  <si>
    <t>Người mẹ, phụ nữ sinh ra mình. 👩‍👧</t>
  </si>
  <si>
    <t>我__在家做饭。</t>
  </si>
  <si>
    <t>我**妈妈**在家做饭。</t>
  </si>
  <si>
    <t>wǒ māma zài jiā zuòfàn.</t>
  </si>
  <si>
    <t>**Mẹ** tôi nấu ăn ở nhà.</t>
  </si>
  <si>
    <t>My mother cooks at home.</t>
  </si>
  <si>
    <t>bàba 爸爸 | gēge 哥哥 | dìdi 弟弟</t>
  </si>
  <si>
    <t>的</t>
  </si>
  <si>
    <t>de</t>
  </si>
  <si>
    <t>structural particle</t>
  </si>
  <si>
    <t>Dùng để chỉ sự sở hữu hoặc bổ nghĩa cho danh từ. 🔗</t>
  </si>
  <si>
    <t>这是我_手机。</t>
  </si>
  <si>
    <t>这是我**的**手机。</t>
  </si>
  <si>
    <t>zhè shì wǒ de shǒujī.</t>
  </si>
  <si>
    <t>Đây là điện thoại **của** tôi.</t>
  </si>
  <si>
    <t>This is my phone.</t>
  </si>
  <si>
    <t>le 了 | ma 吗 | ne 呢</t>
  </si>
  <si>
    <t>对不起</t>
  </si>
  <si>
    <t>duìbuqǐ</t>
  </si>
  <si>
    <t>sorry</t>
  </si>
  <si>
    <t>xin lỗi</t>
  </si>
  <si>
    <t>Lời xin lỗi khi làm sai hoặc làm phiền ai đó. 🙇‍♂️</t>
  </si>
  <si>
    <t>___，我来晚了。</t>
  </si>
  <si>
    <t>**对不起**，我来晚了。</t>
  </si>
  <si>
    <t>duìbuqǐ, wǒ lái wǎn le.</t>
  </si>
  <si>
    <t>**Xin lỗi**, tôi đến muộn.</t>
  </si>
  <si>
    <t>Sorry, I am late.</t>
  </si>
  <si>
    <t>méi guānxi 没关系 | bú kèqi 不客气 | bù zhī dào 不知道</t>
  </si>
  <si>
    <t>不客气</t>
  </si>
  <si>
    <t>bù kèqi</t>
  </si>
  <si>
    <t>you're welcome</t>
  </si>
  <si>
    <t>không có gì</t>
  </si>
  <si>
    <t>Câu đáp lại lịch sự khi được người khác cảm ơn. 🤝</t>
  </si>
  <si>
    <t>谢谢你！___。</t>
  </si>
  <si>
    <t>谢谢你！**不客气**。</t>
  </si>
  <si>
    <t>xièxie nǐ! bú kèqi.</t>
  </si>
  <si>
    <t>Cảm ơn bạn! **Không có gì**.</t>
  </si>
  <si>
    <t>Thank you! You're welcome.</t>
  </si>
  <si>
    <t>méi guānxi 没关系 | duìbuqǐ 对不起 | bù zhī dào 不知道</t>
  </si>
  <si>
    <t>中国</t>
  </si>
  <si>
    <t>zhōngguó</t>
  </si>
  <si>
    <t>China</t>
  </si>
  <si>
    <t>Trung Quốc</t>
  </si>
  <si>
    <t>Quốc gia nằm ở Đông Á. 🇨🇳</t>
  </si>
  <si>
    <t>我想去__学习。</t>
  </si>
  <si>
    <t>我想去**中国**学习。</t>
  </si>
  <si>
    <t>wǒ xiǎng qù zhōngguó xuéxí.</t>
  </si>
  <si>
    <t>Tôi muốn đi **Trung Quốc** học.</t>
  </si>
  <si>
    <t>I want to go to China to study.</t>
  </si>
  <si>
    <t>Hànyǔ 汉语 | Hànzì 汉字 | míngzi 名字</t>
  </si>
  <si>
    <t>B4</t>
  </si>
  <si>
    <t>中文</t>
  </si>
  <si>
    <t>zhōngwén</t>
  </si>
  <si>
    <t>Chinese language</t>
  </si>
  <si>
    <t>tiếng Trung</t>
  </si>
  <si>
    <t>Ngôn ngữ của người Trung Quốc. 🇨🇳</t>
  </si>
  <si>
    <t>__不太容易学。</t>
  </si>
  <si>
    <t>**中文**不太容易学。</t>
  </si>
  <si>
    <t>zhōngwén bú tài róngyì xué.</t>
  </si>
  <si>
    <t>**Tiếng Trung** không dễ học.</t>
  </si>
  <si>
    <t>Chinese is not easy to learn.</t>
  </si>
  <si>
    <t>名字</t>
  </si>
  <si>
    <t>míngzì</t>
  </si>
  <si>
    <t>name</t>
  </si>
  <si>
    <t>tên</t>
  </si>
  <si>
    <t>Danh xưng để gọi một người hoặc sự vật. 🏷️</t>
  </si>
  <si>
    <t>你的__叫什么？</t>
  </si>
  <si>
    <t>你的**名字**叫什么？</t>
  </si>
  <si>
    <t>nǐ de míngzi jiào shénme?</t>
  </si>
  <si>
    <t>**Tên** bạn là gì?</t>
  </si>
  <si>
    <t>What is your name?</t>
  </si>
  <si>
    <t>Hànyǔ 汉语 | Hànzì 汉字 | tóngxué 同学</t>
  </si>
  <si>
    <t>汉字</t>
  </si>
  <si>
    <t>hànzì</t>
  </si>
  <si>
    <t>Chinese character</t>
  </si>
  <si>
    <t>chữ Hán</t>
  </si>
  <si>
    <t>Hệ thống chữ viết của người Trung Quốc. ✍️</t>
  </si>
  <si>
    <t>我每天练习写__。</t>
  </si>
  <si>
    <t>我每天练习写**汉字**。</t>
  </si>
  <si>
    <t>wǒ měitiān liànxí xiě hànzì.</t>
  </si>
  <si>
    <t>Tôi luyện viết **chữ Hán** mỗi ngày.</t>
  </si>
  <si>
    <t>I practice writing Chinese characters every day.</t>
  </si>
  <si>
    <t>Hànyǔ 汉语 | míngzi 名字 | tóngxué 同学</t>
  </si>
  <si>
    <t>对</t>
  </si>
  <si>
    <t>duì</t>
  </si>
  <si>
    <t>correct, right</t>
  </si>
  <si>
    <t>đúng</t>
  </si>
  <si>
    <t>Thể hiện sự đồng tình, chính xác. ✅</t>
  </si>
  <si>
    <t>你说得_。</t>
  </si>
  <si>
    <t>你说得**对**。</t>
  </si>
  <si>
    <t>nǐ shuō de duì.</t>
  </si>
  <si>
    <t>Bạn nói **đúng**.</t>
  </si>
  <si>
    <t>What you said is right.</t>
  </si>
  <si>
    <t>hǎo 好 | dà 大 | duō 多</t>
  </si>
  <si>
    <t>国</t>
  </si>
  <si>
    <t>guó</t>
  </si>
  <si>
    <t>country</t>
  </si>
  <si>
    <t>nước, quốc gia</t>
  </si>
  <si>
    <t>Quốc gia, lãnh thổ có chủ quyền. 🌍</t>
  </si>
  <si>
    <t>我想去很多_家旅行。</t>
  </si>
  <si>
    <t>我想去很多**国**家旅行。</t>
  </si>
  <si>
    <t>wǒ xiǎng qù hěn duō guójiā lǚxíng.</t>
  </si>
  <si>
    <t>Tôi muốn đi du lịch nhiều **nước**.</t>
  </si>
  <si>
    <t>I want to travel to many countries.</t>
  </si>
  <si>
    <t>jiā 家 | diàn 店 | rén 人</t>
  </si>
  <si>
    <t>半</t>
  </si>
  <si>
    <t>bàn</t>
  </si>
  <si>
    <t>Half</t>
  </si>
  <si>
    <t>một nửa</t>
  </si>
  <si>
    <t>Phân nửa của một cái gì đó. 🌗</t>
  </si>
  <si>
    <t>我只吃了一_。</t>
  </si>
  <si>
    <t>我只吃了一**半**。</t>
  </si>
  <si>
    <t>wǒ zhǐ chī le yí bàn.</t>
  </si>
  <si>
    <t>Tôi chỉ ăn **một nửa**.</t>
  </si>
  <si>
    <t>I only ate half.</t>
  </si>
  <si>
    <t>diǎn 点 | kuài 块 | tiān 天</t>
  </si>
  <si>
    <t>B12</t>
  </si>
  <si>
    <t>分</t>
  </si>
  <si>
    <t>fēn</t>
  </si>
  <si>
    <t>minute</t>
  </si>
  <si>
    <t>phút</t>
  </si>
  <si>
    <t>Đơn vị đo thời gian, 1 giờ có 60 phút. ⏱️</t>
  </si>
  <si>
    <t>现在是三点十_。</t>
  </si>
  <si>
    <t>现在是三点十**分**。</t>
  </si>
  <si>
    <t>xiànzài shì sān diǎn shí fēn.</t>
  </si>
  <si>
    <t>Bây giờ là 3 giờ 10 **phút**.</t>
  </si>
  <si>
    <t>It is ten minutes past three now.</t>
  </si>
  <si>
    <t>diǎn 点 | tiān 天 | nián 年</t>
  </si>
  <si>
    <t>电影</t>
  </si>
  <si>
    <t>diànyǐng</t>
  </si>
  <si>
    <t>movie</t>
  </si>
  <si>
    <t>phim</t>
  </si>
  <si>
    <t>Tác phẩm điện ảnh chiếu trên màn ảnh. 🎬</t>
  </si>
  <si>
    <t>这部__很好看。</t>
  </si>
  <si>
    <t>这部**电影**很好看。</t>
  </si>
  <si>
    <t>zhè bù diànyǐng hěn hǎokàn.</t>
  </si>
  <si>
    <t>Bộ **phim** này rất hay.</t>
  </si>
  <si>
    <t>This movie is very good.</t>
  </si>
  <si>
    <t>diànshì 电视 | diànnǎo 电脑 | diànhuà 电话</t>
  </si>
  <si>
    <t>电视</t>
  </si>
  <si>
    <t>diànshì</t>
  </si>
  <si>
    <t>television</t>
  </si>
  <si>
    <t>tivi</t>
  </si>
  <si>
    <t>Thiết bị phát hình ảnh và âm thanh. 📺</t>
  </si>
  <si>
    <t>晚上我们一起看__。</t>
  </si>
  <si>
    <t>晚上我们一起看**电视**。</t>
  </si>
  <si>
    <t>wǎnshang wǒmen yìqǐ kàn diànshì.</t>
  </si>
  <si>
    <t>Buổi tối chúng tôi cùng xem **TV**.</t>
  </si>
  <si>
    <t>We watch TV together in the evening.</t>
  </si>
  <si>
    <t>diànyǐng 电影 | diànnǎo 电脑 | diànhuà 电话</t>
  </si>
  <si>
    <t>点</t>
  </si>
  <si>
    <t>diǎn</t>
  </si>
  <si>
    <t>o'clock</t>
  </si>
  <si>
    <t>Đơn vị chỉ thời gian trên đồng hồ. ⏰</t>
  </si>
  <si>
    <t>现在是三_半。</t>
  </si>
  <si>
    <t>现在是三**点**半。</t>
  </si>
  <si>
    <t>xiànzài shì sān diǎn bàn.</t>
  </si>
  <si>
    <t>Bây giờ là 3 **giờ** rưỡi.</t>
  </si>
  <si>
    <t>It is half past three now.</t>
  </si>
  <si>
    <t>fēn 分 | tiān 天 | nián 年</t>
  </si>
  <si>
    <t>前</t>
  </si>
  <si>
    <t>qián</t>
  </si>
  <si>
    <t>front, before</t>
  </si>
  <si>
    <t>trước</t>
  </si>
  <si>
    <t>Vị trí ở đằng trước hoặc thời gian đã qua. ⏩</t>
  </si>
  <si>
    <t>学校_面有一家书店。</t>
  </si>
  <si>
    <t>学校**前**面有一家书店。</t>
  </si>
  <si>
    <t>xuéxiào qiánmiàn yǒu yì jiā shūdiàn.</t>
  </si>
  <si>
    <t>**Trước** trường có một hiệu sách.</t>
  </si>
  <si>
    <t>There is a bookstore in front of the school.</t>
  </si>
  <si>
    <t>hòu 后 | lǐ 里 | wài 外</t>
  </si>
  <si>
    <t>电影院</t>
  </si>
  <si>
    <t>diànyǐngyuàn</t>
  </si>
  <si>
    <t>cinema</t>
  </si>
  <si>
    <t>rạp phim</t>
  </si>
  <si>
    <t>Nơi chuyên chiếu các bộ phim điện ảnh. 🍿</t>
  </si>
  <si>
    <t>周末我们去___。</t>
  </si>
  <si>
    <t>周末我们去**电影院**。</t>
  </si>
  <si>
    <t>zhōumò wǒmen qù diànyǐngyuàn.</t>
  </si>
  <si>
    <t>Cuối tuần chúng tôi đi **rạp phim**.</t>
  </si>
  <si>
    <t>We go to the cinema on the weekend.</t>
  </si>
  <si>
    <t>huǒ chē zhàn 火车站 | dà yī yuàn 大医院 | fēi jī chǎng 飞机场</t>
  </si>
  <si>
    <t>店</t>
  </si>
  <si>
    <t>diàn</t>
  </si>
  <si>
    <t>shop, store</t>
  </si>
  <si>
    <t>cửa hàng, hàng quán, quán</t>
  </si>
  <si>
    <t>Nơi trưng bày và bán hàng hóa. 🏪</t>
  </si>
  <si>
    <t>这家_很有名。</t>
  </si>
  <si>
    <t>这家**店**很有名。</t>
  </si>
  <si>
    <t>zhè jiā diàn hěn yǒumíng.</t>
  </si>
  <si>
    <t>**Cửa hàng** này rất nổi tiếng.</t>
  </si>
  <si>
    <t>This shop is very famous.</t>
  </si>
  <si>
    <t>jiā 家 | guó 国 | rén 人</t>
  </si>
  <si>
    <t>现在</t>
  </si>
  <si>
    <t>xiànzài</t>
  </si>
  <si>
    <t>now</t>
  </si>
  <si>
    <t>bây giờ</t>
  </si>
  <si>
    <t>Thời điểm hiện tại đang diễn ra. ⏱️</t>
  </si>
  <si>
    <t>__我很忙。</t>
  </si>
  <si>
    <t>**现在**我很忙。</t>
  </si>
  <si>
    <t>xiànzài wǒ hěn máng.</t>
  </si>
  <si>
    <t>**Bây giờ** tôi rất bận.</t>
  </si>
  <si>
    <t>I am very busy now.</t>
  </si>
  <si>
    <t>jīntiān 今天 | míngtiān 明天 | zuótiān 昨天</t>
  </si>
  <si>
    <t>医生</t>
  </si>
  <si>
    <t>yīshēng</t>
  </si>
  <si>
    <t>doctor</t>
  </si>
  <si>
    <t>bác sĩ</t>
  </si>
  <si>
    <t>Người có chuyên môn khám chữa bệnh. 👨‍⚕️</t>
  </si>
  <si>
    <t>__说我需要休息。</t>
  </si>
  <si>
    <t>**医生**说我需要休息。</t>
  </si>
  <si>
    <t>yīshēng shuō wǒ xūyào xiūxi.</t>
  </si>
  <si>
    <t>**Bác sĩ** nói tôi cần nghỉ ngơi.</t>
  </si>
  <si>
    <t>The doctor says I need to rest.</t>
  </si>
  <si>
    <t>lǎoshī 老师 | xuésheng 学生 | péngyou 朋友</t>
  </si>
  <si>
    <t>吧</t>
  </si>
  <si>
    <t>suggestion particle</t>
  </si>
  <si>
    <t>nhé</t>
  </si>
  <si>
    <t>Dùng ở cuối câu để đưa ra lời đề nghị hoặc rủ rê. 🗣️</t>
  </si>
  <si>
    <t>我们一起去吃饭_。</t>
  </si>
  <si>
    <t>我们一起去吃饭**吧**。</t>
  </si>
  <si>
    <t>wǒmen yìqǐ qù chīfàn ba.</t>
  </si>
  <si>
    <t>Chúng ta cùng đi ăn cơm **nhé**.</t>
  </si>
  <si>
    <t>Let's go eat together.</t>
  </si>
  <si>
    <t>ma 吗 | ne 呢 | de 的</t>
  </si>
  <si>
    <t>后</t>
  </si>
  <si>
    <t>hòu</t>
  </si>
  <si>
    <t>back, behind, after</t>
  </si>
  <si>
    <t>sau</t>
  </si>
  <si>
    <t>Vị trí ở phía lưng hoặc thời gian tới muộn hơn. 🔙</t>
  </si>
  <si>
    <t>下课_我们去吃饭。</t>
  </si>
  <si>
    <t>下课**后**我们去吃饭。</t>
  </si>
  <si>
    <t>xiàkè hòu wǒmen qù chīfàn.</t>
  </si>
  <si>
    <t>**Sau** giờ học chúng tôi đi ăn.</t>
  </si>
  <si>
    <t>We go to eat after class.</t>
  </si>
  <si>
    <t>qián 前 | lǐ 里 | wài 外</t>
  </si>
  <si>
    <t>在</t>
  </si>
  <si>
    <t>zài</t>
  </si>
  <si>
    <t>at, in, on</t>
  </si>
  <si>
    <t>ở</t>
  </si>
  <si>
    <t>Chỉ vị trí hoặc địa điểm. 📍</t>
  </si>
  <si>
    <t>我_家学习。</t>
  </si>
  <si>
    <t>我**在**家学习。</t>
  </si>
  <si>
    <t>wǒ zài jiā xuéxí.</t>
  </si>
  <si>
    <t>Tôi học **ở** nhà.</t>
  </si>
  <si>
    <t>I study at home.</t>
  </si>
  <si>
    <t>qù 去 | lái 来 | dào 到</t>
  </si>
  <si>
    <t>下课</t>
  </si>
  <si>
    <t>xiàkè</t>
  </si>
  <si>
    <t>finish class</t>
  </si>
  <si>
    <t>tan học</t>
  </si>
  <si>
    <t>Kết thúc tiết học hoặc buổi học. 🎒</t>
  </si>
  <si>
    <t>__以后我们去吃饭。</t>
  </si>
  <si>
    <t>**下课**以后我们去吃饭。</t>
  </si>
  <si>
    <t>xiàkè yǐhòu wǒmen qù chīfàn.</t>
  </si>
  <si>
    <t>**Tan học** chúng tôi đi ăn.</t>
  </si>
  <si>
    <t>shàngkè 上课 | shàngbān 上班 | xiàbān 下班</t>
  </si>
  <si>
    <t>课</t>
  </si>
  <si>
    <t>kè</t>
  </si>
  <si>
    <t>class, lesson</t>
  </si>
  <si>
    <t>tiết học</t>
  </si>
  <si>
    <t>Buổi học hoặc môn học tại trường. 🏫</t>
  </si>
  <si>
    <t>今天我们有三节_。</t>
  </si>
  <si>
    <t>今天我们有三节**课**。</t>
  </si>
  <si>
    <t>jīntiān wǒmen yǒu sān jié kè.</t>
  </si>
  <si>
    <t>Hôm nay chúng tôi có ba **tiết học**.</t>
  </si>
  <si>
    <t>We have three classes today.</t>
  </si>
  <si>
    <t>shū 书 | zì 字 | rén 人</t>
  </si>
  <si>
    <t>上课</t>
  </si>
  <si>
    <t>shàngkè</t>
  </si>
  <si>
    <t>attend class</t>
  </si>
  <si>
    <t>lên lớp， bắt đầu lên lớp</t>
  </si>
  <si>
    <t>Bắt đầu tiết học tại trường. 🏫</t>
  </si>
  <si>
    <t>我们九点开始__。</t>
  </si>
  <si>
    <t>我们九点开始**上课**。</t>
  </si>
  <si>
    <t>wǒmen jiǔ diǎn kāishǐ shàngkè.</t>
  </si>
  <si>
    <t>Chúng tôi bắt đầu **học** lúc 9 giờ.</t>
  </si>
  <si>
    <t>We start class at nine o'clock.</t>
  </si>
  <si>
    <t>xiàkè 下课 | shàngbān 上班 | xiàbān 下班</t>
  </si>
  <si>
    <t>分钟</t>
  </si>
  <si>
    <t>fēnzhōng</t>
  </si>
  <si>
    <t>Khoảng thời gian kéo dài 60 giây. ⏳</t>
  </si>
  <si>
    <t>我等了他十__。</t>
  </si>
  <si>
    <t>我等了他十**分钟**。</t>
  </si>
  <si>
    <t>wǒ děng le tā shí fēnzhōng.</t>
  </si>
  <si>
    <t>Tôi đợi anh ấy 10 **phút**.</t>
  </si>
  <si>
    <t>I waited for him for ten minutes.</t>
  </si>
  <si>
    <t>xiǎoshí 小时 | xīngqī 星期 | míngzi 名字</t>
  </si>
  <si>
    <t>医院</t>
  </si>
  <si>
    <t>yīyuàn</t>
  </si>
  <si>
    <t>hospital</t>
  </si>
  <si>
    <t>bệnh viện</t>
  </si>
  <si>
    <t>Cơ sở y tế chuyên khám và chữa bệnh. 🏥</t>
  </si>
  <si>
    <t>他在__工作。</t>
  </si>
  <si>
    <t>他在**医院**工作。</t>
  </si>
  <si>
    <t>tā zài yīyuàn gōngzuò.</t>
  </si>
  <si>
    <t>Anh ấy làm việc ở **bệnh viện**.</t>
  </si>
  <si>
    <t>He works in a hospital.</t>
  </si>
  <si>
    <t>xuéxiào 学校 | fàndiàn 饭店 | shāngdiàn 商店</t>
  </si>
  <si>
    <t>来</t>
  </si>
  <si>
    <t>lái</t>
  </si>
  <si>
    <t>come</t>
  </si>
  <si>
    <t>đến (đi cùng với 这儿）</t>
  </si>
  <si>
    <t>Di chuyển về phía người đang nói. 🚶‍♂️/ Lưu ý phân biệt khác trường hợp với 去 （+那儿）</t>
  </si>
  <si>
    <t>明天你_我家吧。</t>
  </si>
  <si>
    <t>明天你**来**我家吧。</t>
  </si>
  <si>
    <t>míngtiān nǐ lái wǒ jiā ba.</t>
  </si>
  <si>
    <t>Ngày mai bạn **đến** nhà tôi nhé.</t>
  </si>
  <si>
    <t>Come to my house tomorrow.</t>
  </si>
  <si>
    <t>qù 去 | huí 回 | dào 到</t>
  </si>
  <si>
    <t>B11-new</t>
  </si>
  <si>
    <t>手机</t>
  </si>
  <si>
    <t>shǒujī</t>
  </si>
  <si>
    <t>mobile phone</t>
  </si>
  <si>
    <t>điện thoại</t>
  </si>
  <si>
    <t>Thiết bị liên lạc cầm tay. 📱</t>
  </si>
  <si>
    <t>我的__不见了。</t>
  </si>
  <si>
    <t>我的**手机**不见了。</t>
  </si>
  <si>
    <t>wǒ de shǒujī bú jiàn le.</t>
  </si>
  <si>
    <t>**Điện thoại** của tôi bị mất.</t>
  </si>
  <si>
    <t>My mobile phone is missing.</t>
  </si>
  <si>
    <t>diànnǎo 电脑 | diànshì 电视 | diànhuà 电话</t>
  </si>
  <si>
    <t>B11</t>
  </si>
  <si>
    <t>电话</t>
  </si>
  <si>
    <t>diànhuà</t>
  </si>
  <si>
    <t>telephone</t>
  </si>
  <si>
    <t>Thiết bị dùng để liên lạc từ xa. 📞</t>
  </si>
  <si>
    <t>我的__没电了。</t>
  </si>
  <si>
    <t>我的**电话**没电了。</t>
  </si>
  <si>
    <t>wǒ de diànhuà méi diàn le.</t>
  </si>
  <si>
    <t>**Điện thoại** tôi hết pin rồi.</t>
  </si>
  <si>
    <t>My phone is out of battery.</t>
  </si>
  <si>
    <t>diànnǎo 电脑 | diànshì 电视 | diànyǐng 电影</t>
  </si>
  <si>
    <t>出租车</t>
  </si>
  <si>
    <t>chūzūchē</t>
  </si>
  <si>
    <t>taxi</t>
  </si>
  <si>
    <t>Xe ô tô chở khách có tính phí theo đồng hồ. 🚕</t>
  </si>
  <si>
    <t>我们坐___去机场。</t>
  </si>
  <si>
    <t>我们坐**出租车**去机场。</t>
  </si>
  <si>
    <t>wǒmen zuò chūzūchē qù jīchǎng.</t>
  </si>
  <si>
    <t>Chúng tôi đi **taxi** ra sân bay.</t>
  </si>
  <si>
    <t>We take a taxi to the airport.</t>
  </si>
  <si>
    <t>fēi jī chǎng 飞机场 | huǒ chē zhàn 火车站 | diànyǐngyuàn 电影院</t>
  </si>
  <si>
    <t>好吃</t>
  </si>
  <si>
    <t>hàochī</t>
  </si>
  <si>
    <t>delicious</t>
  </si>
  <si>
    <t>ngon</t>
  </si>
  <si>
    <t>Đồ ăn có hương vị tuyệt vời. 😋</t>
  </si>
  <si>
    <t>中国菜很__。</t>
  </si>
  <si>
    <t>中国菜很**好吃**。</t>
  </si>
  <si>
    <t>zhōngguó cài hěn hǎochī.</t>
  </si>
  <si>
    <t>Món Trung Quốc rất **ngon**.</t>
  </si>
  <si>
    <t>Chinese food is very delicious.</t>
  </si>
  <si>
    <t>hǎokàn 好看 | piàoliang 漂亮 | gāoxìng 高兴</t>
  </si>
  <si>
    <t>吃</t>
  </si>
  <si>
    <t>chī</t>
  </si>
  <si>
    <t>eat</t>
  </si>
  <si>
    <t>ăn</t>
  </si>
  <si>
    <t>Hành động đưa thức ăn vào miệng. 🍚</t>
  </si>
  <si>
    <t>我每天在家_饭。</t>
  </si>
  <si>
    <t>我每天在家**吃**饭。</t>
  </si>
  <si>
    <t>wǒ měitiān zài jiā chī fàn.</t>
  </si>
  <si>
    <t>Tôi **ăn** cơm ở nhà mỗi ngày.</t>
  </si>
  <si>
    <t>I eat at home every day.</t>
  </si>
  <si>
    <t>hē 喝 | kàn 看 | zuò 做</t>
  </si>
  <si>
    <t>读</t>
  </si>
  <si>
    <t>dú</t>
  </si>
  <si>
    <t>read</t>
  </si>
  <si>
    <t>đọc</t>
  </si>
  <si>
    <t>Hành động phát âm chữ viết thành lời. 📖</t>
  </si>
  <si>
    <t>他每天_书两个小时。</t>
  </si>
  <si>
    <t>他每天**读**书两个小时。</t>
  </si>
  <si>
    <t>tā měitiān dú shū liǎng gè xiǎoshí.</t>
  </si>
  <si>
    <t>Anh ấy **đọc** sách 2 tiếng mỗi ngày.</t>
  </si>
  <si>
    <t>He reads books for two hours every day.</t>
  </si>
  <si>
    <t>kàn 看 | xiě 写 | tīng 听</t>
  </si>
  <si>
    <t>去</t>
  </si>
  <si>
    <t>qù</t>
  </si>
  <si>
    <t>go</t>
  </si>
  <si>
    <t>đi （đi với 那儿）</t>
  </si>
  <si>
    <t>Di chuyển ra xa khỏi người đang nói. 🚶‍♀️/ Lưu ý trường hợp khác với 来（+这儿））</t>
  </si>
  <si>
    <t>我明天_学校。</t>
  </si>
  <si>
    <t>我明天**去**学校。</t>
  </si>
  <si>
    <t>wǒ míngtiān qù xuéxiào.</t>
  </si>
  <si>
    <t>Ngày mai tôi **đi** học.</t>
  </si>
  <si>
    <t>I go to school tomorrow.</t>
  </si>
  <si>
    <t>lái 来 | huí 回 | dào 到</t>
  </si>
  <si>
    <t>卖</t>
  </si>
  <si>
    <t>mài</t>
  </si>
  <si>
    <t>sell</t>
  </si>
  <si>
    <t>bán</t>
  </si>
  <si>
    <t>Đổi hàng hóa lấy tiền. 🏪</t>
  </si>
  <si>
    <t>这家店_水果。</t>
  </si>
  <si>
    <t>这家店**卖**水果。</t>
  </si>
  <si>
    <t>zhè jiā diàn mài shuǐguǒ.</t>
  </si>
  <si>
    <t>Cửa hàng này **bán** hoa quả.</t>
  </si>
  <si>
    <t>This shop sells fruits.</t>
  </si>
  <si>
    <t>mǎi 买 | kàn 看 | zhǎo 找</t>
  </si>
  <si>
    <t>买</t>
  </si>
  <si>
    <t>mǎi</t>
  </si>
  <si>
    <t>buy</t>
  </si>
  <si>
    <t>mua</t>
  </si>
  <si>
    <t>Dùng tiền để đổi lấy hàng hóa. 🛍️</t>
  </si>
  <si>
    <t>我想_一件衣服。</t>
  </si>
  <si>
    <t>我想**买**一件衣服。</t>
  </si>
  <si>
    <t>wǒ xiǎng mǎi yí jiàn yīfu.</t>
  </si>
  <si>
    <t>Tôi muốn **mua** một bộ quần áo.</t>
  </si>
  <si>
    <t>I want to buy a piece of clothing.</t>
  </si>
  <si>
    <t>mài 卖 | kàn 看 | zhǎo 找</t>
  </si>
  <si>
    <t>米饭</t>
  </si>
  <si>
    <t>mǐfàn</t>
  </si>
  <si>
    <t>cooked rice</t>
  </si>
  <si>
    <t>cơm</t>
  </si>
  <si>
    <t>Cơm trắng đã được nấu chín. 🍚</t>
  </si>
  <si>
    <t>中午我们吃__。</t>
  </si>
  <si>
    <t>中午我们吃**米饭**。</t>
  </si>
  <si>
    <t>zhōngwǔ wǒmen chī mǐfàn.</t>
  </si>
  <si>
    <t>Buổi trưa chúng tôi ăn **cơm**.</t>
  </si>
  <si>
    <t>We eat cooked rice at noon.</t>
  </si>
  <si>
    <t>miànbāo 面包 | bāozi 包子 | jiǎozi 饺子</t>
  </si>
  <si>
    <t>面包</t>
  </si>
  <si>
    <t>miànbāo</t>
  </si>
  <si>
    <t>bread</t>
  </si>
  <si>
    <t>bánh mì</t>
  </si>
  <si>
    <t>Thực phẩm làm từ bột mì nướng chín. 🍞</t>
  </si>
  <si>
    <t>早餐我吃__。</t>
  </si>
  <si>
    <t>早餐我吃**面包**。</t>
  </si>
  <si>
    <t>zǎocān wǒ chī miànbāo.</t>
  </si>
  <si>
    <t>Bữa sáng tôi ăn **bánh mì**.</t>
  </si>
  <si>
    <t>I eat bread for breakfast.</t>
  </si>
  <si>
    <t>mǐfàn 米饭 | bāozi 包子 | jiǎozi 饺子</t>
  </si>
  <si>
    <t>怎么</t>
  </si>
  <si>
    <t>zěnme</t>
  </si>
  <si>
    <t>how</t>
  </si>
  <si>
    <t>thế nào</t>
  </si>
  <si>
    <t>Hỏi về phương thức hoặc nguyên nhân. ❓</t>
  </si>
  <si>
    <t>你__来学校？</t>
  </si>
  <si>
    <t>你**怎么**来学校？</t>
  </si>
  <si>
    <t>nǐ zěnme lái xuéxiào?</t>
  </si>
  <si>
    <t>Bạn đến trường bằng cách **nào**?</t>
  </si>
  <si>
    <t>How do you come to school?</t>
  </si>
  <si>
    <t>nǎlǐ 哪里 | shénme 什么 | duōshao 多少</t>
  </si>
  <si>
    <t>这里</t>
  </si>
  <si>
    <t>zhèlǐ</t>
  </si>
  <si>
    <t>here</t>
  </si>
  <si>
    <t>ở đây</t>
  </si>
  <si>
    <t>Chỉ địa điểm ở gần người nói. 📍</t>
  </si>
  <si>
    <t>我住在__。</t>
  </si>
  <si>
    <t>我住在**这里**。</t>
  </si>
  <si>
    <t>wǒ zhù zài zhèlǐ.</t>
  </si>
  <si>
    <t>Tôi sống **ở đây**.</t>
  </si>
  <si>
    <t>I live here.</t>
  </si>
  <si>
    <t>nàlǐ 那里 | nǎlǐ 哪里 | nàr 那儿</t>
  </si>
  <si>
    <t>这儿</t>
  </si>
  <si>
    <t>zhèr</t>
  </si>
  <si>
    <t>chỗ này</t>
  </si>
  <si>
    <t>đại từ</t>
  </si>
  <si>
    <t>Chỉ địa điểm ở gần (thường dùng trong khẩu ngữ). 📍</t>
  </si>
  <si>
    <t>我在__等你。</t>
  </si>
  <si>
    <t>我在**这儿**等你。</t>
  </si>
  <si>
    <t>wǒ zài zhèr děng nǐ.</t>
  </si>
  <si>
    <t>Tôi đợi bạn ở **đây**.</t>
  </si>
  <si>
    <t>I wait for you here.</t>
  </si>
  <si>
    <t>nàr 那儿 | nǎr 哪儿 | zhèlǐ 这里</t>
  </si>
  <si>
    <t>牛奶</t>
  </si>
  <si>
    <t>niúnǎi</t>
  </si>
  <si>
    <t>milk</t>
  </si>
  <si>
    <t>sữa bò</t>
  </si>
  <si>
    <t>Thức uống dinh dưỡng vắt từ bò. 🥛</t>
  </si>
  <si>
    <t>我每天早上喝__。</t>
  </si>
  <si>
    <t>我每天早上喝**牛奶**。</t>
  </si>
  <si>
    <t>wǒ měitiān zǎoshang hē niúnǎi.</t>
  </si>
  <si>
    <t>Mỗi sáng tôi uống **sữa**.</t>
  </si>
  <si>
    <t>I drink milk every morning.</t>
  </si>
  <si>
    <t>píngguǒ 苹果 | mǐfàn 米饭 | bāozi 包子</t>
  </si>
  <si>
    <t>包子</t>
  </si>
  <si>
    <t>bāozi</t>
  </si>
  <si>
    <t>steamed stuffed bun</t>
  </si>
  <si>
    <t>bánh bao</t>
  </si>
  <si>
    <t>Món ăn sáng phổ biến của người Trung Quốc. 🥟</t>
  </si>
  <si>
    <t>早上我吃了两个__。</t>
  </si>
  <si>
    <t>早上我吃了两个**包子**。</t>
  </si>
  <si>
    <t>zǎoshang wǒ chī le liǎng gè bāozi.</t>
  </si>
  <si>
    <t>Buổi sáng tôi ăn hai cái **bánh bao**.</t>
  </si>
  <si>
    <t>I ate two steamed buns in the morning.</t>
  </si>
  <si>
    <t>píngguǒ 苹果 | mǐfàn 米饭 | jiǎozi 饺子</t>
  </si>
  <si>
    <t>坐</t>
  </si>
  <si>
    <t>zuò</t>
  </si>
  <si>
    <t>sit, take (transport)</t>
  </si>
  <si>
    <t>ngồi, đi (xe, tàu,...)</t>
  </si>
  <si>
    <t>Tư thế tựa phần dưới cơ thể lên ghế. 🪑</t>
  </si>
  <si>
    <t>请_这儿。</t>
  </si>
  <si>
    <t>请**坐**这儿。</t>
  </si>
  <si>
    <t>qǐng zuò zhèr.</t>
  </si>
  <si>
    <t>Mời **ngồi** ở đây.</t>
  </si>
  <si>
    <t>Please sit here.</t>
  </si>
  <si>
    <t>中午</t>
  </si>
  <si>
    <t>zhōngwǔ</t>
  </si>
  <si>
    <t>noon</t>
  </si>
  <si>
    <t>buổi trưa</t>
  </si>
  <si>
    <t>Khoảng thời gian giữa ngày. ☀️đúng 12h</t>
  </si>
  <si>
    <t>__我们一起吃饭。</t>
  </si>
  <si>
    <t>**中午**我们一起吃饭。</t>
  </si>
  <si>
    <t>zhōngwǔ wǒmen yìqǐ chīfàn.</t>
  </si>
  <si>
    <t>**Buổi trưa** chúng tôi ăn cùng nhau.</t>
  </si>
  <si>
    <t>We eat together at noon.</t>
  </si>
  <si>
    <t>shàngwǔ 上午 | xiàwǔ 下午 | wǎnshang 晚上</t>
  </si>
  <si>
    <t>晚上</t>
  </si>
  <si>
    <t>wǎnshàng</t>
  </si>
  <si>
    <t>evening</t>
  </si>
  <si>
    <t>buổi tối</t>
  </si>
  <si>
    <t>Khoảng thời gian từ lúc mặt trời lặn đến khuya. 🌃</t>
  </si>
  <si>
    <t>__我在家学习。</t>
  </si>
  <si>
    <t>**晚上**我在家学习。</t>
  </si>
  <si>
    <t>wǎnshang wǒ zài jiā xuéxí.</t>
  </si>
  <si>
    <t>**Buổi tối** tôi học ở nhà.</t>
  </si>
  <si>
    <t>I study at home in the evening.</t>
  </si>
  <si>
    <t>shàngwǔ 上午 | xiàwǔ 下午 | zhōngwǔ 中午</t>
  </si>
  <si>
    <t>下午</t>
  </si>
  <si>
    <t>xiàwǔ</t>
  </si>
  <si>
    <t>afternoon</t>
  </si>
  <si>
    <t>buổi chiều</t>
  </si>
  <si>
    <t>Khoảng thời gian từ trưa đến khi mặt trời lặn. 🌇</t>
  </si>
  <si>
    <t>__我去超市买东西。</t>
  </si>
  <si>
    <t>**下午**我去超市买东西。</t>
  </si>
  <si>
    <t>xiàwǔ wǒ qù chāoshì mǎi dōngxi.</t>
  </si>
  <si>
    <t>**Buổi chiều** tôi đi siêu thị mua đồ.</t>
  </si>
  <si>
    <t>I go to the supermarket to buy things in the afternoon.</t>
  </si>
  <si>
    <t>shàngwǔ 上午 | zhōngwǔ 中午 | wǎnshang 晚上</t>
  </si>
  <si>
    <t>车</t>
  </si>
  <si>
    <t>chē</t>
  </si>
  <si>
    <t>car, vehicle</t>
  </si>
  <si>
    <t>xe</t>
  </si>
  <si>
    <t>Phương tiện giao thông di chuyển trên đường. 🚗</t>
  </si>
  <si>
    <t>这辆_很新。</t>
  </si>
  <si>
    <t>这辆**车**很新。</t>
  </si>
  <si>
    <t>zhè liàng chē hěn xīn.</t>
  </si>
  <si>
    <t>Chiếc **xe** này rất mới.</t>
  </si>
  <si>
    <t>This car is very new.</t>
  </si>
  <si>
    <t>shū 书 | gǒu 狗 | māo 猫</t>
  </si>
  <si>
    <t>早</t>
  </si>
  <si>
    <t>zǎo</t>
  </si>
  <si>
    <t>early</t>
  </si>
  <si>
    <t>sớm</t>
  </si>
  <si>
    <t>Thời gian trước mức bình thường. 🌅</t>
  </si>
  <si>
    <t>今天我来得很_。</t>
  </si>
  <si>
    <t>今天我来得很**早**。</t>
  </si>
  <si>
    <t>jīntiān wǒ lái de hěn zǎo.</t>
  </si>
  <si>
    <t>Hôm nay tôi đến rất **sớm**.</t>
  </si>
  <si>
    <t>I came very early today.</t>
  </si>
  <si>
    <t>wǎn 晚 | dà 大 | xiǎo 小</t>
  </si>
  <si>
    <t>早上</t>
  </si>
  <si>
    <t>zǎoshang</t>
  </si>
  <si>
    <t>morning</t>
  </si>
  <si>
    <t>buổi sáng</t>
  </si>
  <si>
    <t>Khoảng thời gian đầu ngày. 🌄</t>
  </si>
  <si>
    <t>__我去学校。</t>
  </si>
  <si>
    <t>**早上**我去学校。</t>
  </si>
  <si>
    <t>zǎoshang wǒ qù xuéxiào.</t>
  </si>
  <si>
    <t>**Buổi sáng** tôi đi học.</t>
  </si>
  <si>
    <t>I go to school in the morning.</t>
  </si>
  <si>
    <t>早饭</t>
  </si>
  <si>
    <t>zǎofàn</t>
  </si>
  <si>
    <t>breakfast</t>
  </si>
  <si>
    <t>bữa sáng</t>
  </si>
  <si>
    <t>Bữa ăn đầu tiên trong ngày. 🍳</t>
  </si>
  <si>
    <t>我每天吃__。</t>
  </si>
  <si>
    <t>我每天吃**早饭**。</t>
  </si>
  <si>
    <t>wǒ měitiān chī zǎofàn.</t>
  </si>
  <si>
    <t>Tôi ăn **sáng** mỗi ngày.</t>
  </si>
  <si>
    <t>I eat breakfast every day.</t>
  </si>
  <si>
    <t>wǔfàn 午饭 | wǎnfàn 晚饭 | mǐfàn 米饭</t>
  </si>
  <si>
    <t>上午</t>
  </si>
  <si>
    <t>shàngwǔ</t>
  </si>
  <si>
    <t xml:space="preserve"> late morning</t>
  </si>
  <si>
    <t>buổi sáng (khoảng 9-12h)</t>
  </si>
  <si>
    <t>Khoảng thời gian từ lúc mặt trời mọc đến trưa. 🌅lúc 9-12h</t>
  </si>
  <si>
    <t>__我在学校学习。</t>
  </si>
  <si>
    <t>**上午**我在学校学习。</t>
  </si>
  <si>
    <t>shàngwǔ wǒ zài xuéxiào xuéxí.</t>
  </si>
  <si>
    <t>**Buổi sáng** tôi học ở trường.</t>
  </si>
  <si>
    <t>I study at school in the morning.</t>
  </si>
  <si>
    <t>xiàwǔ 下午 | zhōngwǔ 中午 | wǎnshang 晚上</t>
  </si>
  <si>
    <t>想</t>
  </si>
  <si>
    <t>xiǎng</t>
  </si>
  <si>
    <t>would like to / think / miss</t>
  </si>
  <si>
    <t>Có ý định hoặc mong muốn làm gì đó. 💭</t>
  </si>
  <si>
    <t>我_学习汉语。</t>
  </si>
  <si>
    <t>我**想**学习汉语。</t>
  </si>
  <si>
    <t>wǒ xiǎng xuéxí hànyǔ.</t>
  </si>
  <si>
    <t>Tôi **muốn** học tiếng Trung.</t>
  </si>
  <si>
    <t>I want to study Chinese.</t>
  </si>
  <si>
    <t>yào 要 | huì 会 | néng 能</t>
  </si>
  <si>
    <t>东西</t>
  </si>
  <si>
    <t>dōngxi</t>
  </si>
  <si>
    <t>thing, stuff</t>
  </si>
  <si>
    <t>đồ vật</t>
  </si>
  <si>
    <t>Từ chỉ chung các đồ vật, sự vật. 📦</t>
  </si>
  <si>
    <t>房间里有很多__。</t>
  </si>
  <si>
    <t>房间里有很多**东西**。</t>
  </si>
  <si>
    <t>fángjiān lǐ yǒu hěn duō dōngxi.</t>
  </si>
  <si>
    <t>Trong phòng có nhiều **đồ vật**.</t>
  </si>
  <si>
    <t>There are many things in the room.</t>
  </si>
  <si>
    <t>yīfu 衣服 | shuǐguǒ 水果 | píngguǒ 苹果</t>
  </si>
  <si>
    <t>超市</t>
  </si>
  <si>
    <t>chāoshì</t>
  </si>
  <si>
    <t>supermarket</t>
  </si>
  <si>
    <t>siêu thị</t>
  </si>
  <si>
    <t>Nơi bán nhiều loại hàng hóa, thực phẩm. 🛒</t>
  </si>
  <si>
    <t>下班以后我去__买东西。</t>
  </si>
  <si>
    <t>下班以后我去**超市**买东西。</t>
  </si>
  <si>
    <t>xiàbān yǐhòu wǒ qù chāoshì mǎi dōngxi.</t>
  </si>
  <si>
    <t>Tan làm tôi đi **siêu thị** mua đồ.</t>
  </si>
  <si>
    <t>I go to the supermarket to buy things after work.</t>
  </si>
  <si>
    <t>yīyuàn 医院 | xuéxiào 学校 | fàndiàn 饭店</t>
  </si>
  <si>
    <t>饭店</t>
  </si>
  <si>
    <t>fàndiàn</t>
  </si>
  <si>
    <t>restaurant</t>
  </si>
  <si>
    <t>nhà hàng (cao cấp)</t>
  </si>
  <si>
    <t>Nơi phục vụ đồ ăn và thức uống cho khách. 🍽️
 - Lớn hơn, có thể là nhà hàng sang trọng / khách sạn (nhất là ở Trung Quốc đại lục)
 - Có thể chỉ phục vụ ăn uống hoặc bao gồm cả lưu trú (khách sạn</t>
  </si>
  <si>
    <t>我们中午在这家__吃饭。</t>
  </si>
  <si>
    <t>我们中午在这家**饭店**吃饭。</t>
  </si>
  <si>
    <t>wǒmen zhōngwǔ zài zhè jiā fàndiàn chīfàn.</t>
  </si>
  <si>
    <t>Buổi trưa chúng tôi ăn ở **nhà hàng** này.</t>
  </si>
  <si>
    <t>We eat at this restaurant at noon.</t>
  </si>
  <si>
    <t>yīyuàn 医院 | xuéxiào 学校 | shāngdiàn 商店</t>
  </si>
  <si>
    <t>晚</t>
  </si>
  <si>
    <t>wǎn</t>
  </si>
  <si>
    <t>late</t>
  </si>
  <si>
    <t>muộn, tối</t>
  </si>
  <si>
    <t>Thời gian đã trễ hoặc buổi tối. 🌙</t>
  </si>
  <si>
    <t>现在不早也不_。</t>
  </si>
  <si>
    <t>现在不早也不**晚**。</t>
  </si>
  <si>
    <t>xiànzài bù zǎo yě bù wǎn.</t>
  </si>
  <si>
    <t>Bây giờ không sớm cũng không **muộn**.</t>
  </si>
  <si>
    <t>It is neither early nor late now.</t>
  </si>
  <si>
    <t>zǎo 早 | dà 大 | xiǎo 小</t>
  </si>
  <si>
    <t>午饭</t>
  </si>
  <si>
    <t>wǔfàn</t>
  </si>
  <si>
    <t>lunch</t>
  </si>
  <si>
    <t>bữa trưa</t>
  </si>
  <si>
    <t>Bữa ăn chính vào giữa ngày. 🍱</t>
  </si>
  <si>
    <t>中午我们一起吃__。</t>
  </si>
  <si>
    <t>中午我们一起吃**午饭**。</t>
  </si>
  <si>
    <t>zhōngwǔ wǒmen yìqǐ chī wǔfàn.</t>
  </si>
  <si>
    <t>Buổi trưa chúng tôi ăn **trưa** cùng nhau.</t>
  </si>
  <si>
    <t>We eat lunch together at noon.</t>
  </si>
  <si>
    <t>zǎofàn 早饭 | wǎnfàn 晚饭 | mǐfàn 米饭</t>
  </si>
  <si>
    <t>晚饭</t>
  </si>
  <si>
    <t>wǎnfàn</t>
  </si>
  <si>
    <t>dinner</t>
  </si>
  <si>
    <t>bữa tối</t>
  </si>
  <si>
    <t>Bữa ăn chính vào buổi tối. 🍲</t>
  </si>
  <si>
    <t>我们六点吃__。</t>
  </si>
  <si>
    <t>我们六点吃**晚饭**。</t>
  </si>
  <si>
    <t>wǒmen liù diǎn chī wǎnfàn.</t>
  </si>
  <si>
    <t>Chúng tôi ăn **tối** lúc 6 giờ.</t>
  </si>
  <si>
    <t>We eat dinner at six o'clock.</t>
  </si>
  <si>
    <t>zǎofàn 早饭 | wǔfàn 午饭 | mǐfàn 米饭</t>
  </si>
  <si>
    <t>那里</t>
  </si>
  <si>
    <t>nàli</t>
  </si>
  <si>
    <t>there</t>
  </si>
  <si>
    <t>ở kia</t>
  </si>
  <si>
    <t>Chỉ địa điểm ở xa người nói. 📍</t>
  </si>
  <si>
    <t>我朋友住在__。</t>
  </si>
  <si>
    <t>我朋友住在**那里**。</t>
  </si>
  <si>
    <t>wǒ péngyou zhù zài nàlǐ.</t>
  </si>
  <si>
    <t>Bạn tôi sống **ở đó**.</t>
  </si>
  <si>
    <t>My friend lives there.</t>
  </si>
  <si>
    <t>zhèlǐ 这里 | nǎlǐ 哪里 | nàr 那儿</t>
  </si>
  <si>
    <t>哪里</t>
  </si>
  <si>
    <t>nǎlǐ</t>
  </si>
  <si>
    <t>where</t>
  </si>
  <si>
    <t>ở đâu</t>
  </si>
  <si>
    <t>Hỏi về địa điểm, vị trí. 🗺️</t>
  </si>
  <si>
    <t>洗手间在__？</t>
  </si>
  <si>
    <t>洗手间在**哪里**？</t>
  </si>
  <si>
    <t>xǐshǒujiān zài nǎlǐ?</t>
  </si>
  <si>
    <t>Nhà vệ sinh **ở đâu**?</t>
  </si>
  <si>
    <t>Where is the restroom?</t>
  </si>
  <si>
    <t>zhèlǐ 这里 | nàlǐ 那里 | nǎr 哪儿</t>
  </si>
  <si>
    <t>非常</t>
  </si>
  <si>
    <t>fēicháng</t>
  </si>
  <si>
    <t>very, extremely</t>
  </si>
  <si>
    <t>rất</t>
  </si>
  <si>
    <t>Mức độ cao hơn "很", biểu thị sự vượt trội. 🌟</t>
  </si>
  <si>
    <t>今天的天气__好。</t>
  </si>
  <si>
    <t>今天的天气**非常**好。</t>
  </si>
  <si>
    <t>jīntiān de tiānqì fēicháng hǎo.</t>
  </si>
  <si>
    <t>Thời tiết hôm nay **rất** tốt.</t>
  </si>
  <si>
    <t>The weather today is very good.</t>
  </si>
  <si>
    <t>zhèngzài 正在 | yì qǐ 一起 | dōu bù 都不</t>
  </si>
  <si>
    <t>那儿</t>
  </si>
  <si>
    <t>nàr</t>
  </si>
  <si>
    <t>(chỉ nơi chốn) chỗ kia</t>
  </si>
  <si>
    <t>Chỉ địa điểm ở xa (thường dùng trong khẩu ngữ). 📍</t>
  </si>
  <si>
    <t>我在**那儿**等你。</t>
  </si>
  <si>
    <t>wǒ zài nàr děng nǐ.</t>
  </si>
  <si>
    <t>Tôi đợi bạn ở **đó**.</t>
  </si>
  <si>
    <t>I wait for you there.</t>
  </si>
  <si>
    <t>zhèr 这儿 | nǎr 哪儿 | nàlǐ 那里</t>
  </si>
  <si>
    <t>哪儿</t>
  </si>
  <si>
    <t>nǎr</t>
  </si>
  <si>
    <t>Hỏi về địa điểm (thường dùng trong khẩu ngữ). 🗺️</t>
  </si>
  <si>
    <t>你去__？</t>
  </si>
  <si>
    <t>你去**哪儿**？</t>
  </si>
  <si>
    <t>nǐ qù nǎr?</t>
  </si>
  <si>
    <t>Bạn đi **đâu**?</t>
  </si>
  <si>
    <t>Where are you going?</t>
  </si>
  <si>
    <t>zhèr 这儿 | nàr 那儿 | nǎlǐ 哪里</t>
  </si>
  <si>
    <t>超</t>
  </si>
  <si>
    <t>super-</t>
  </si>
  <si>
    <t>siêu</t>
  </si>
  <si>
    <t>Mức độ rất cao, vượt qua bình thường. 🚀</t>
  </si>
  <si>
    <t>这个苹果_大。</t>
  </si>
  <si>
    <t>这个苹果**超**大。</t>
  </si>
  <si>
    <t>zhège píngguǒ chāo dà.</t>
  </si>
  <si>
    <t>Quả táo này **siêu** to.</t>
  </si>
  <si>
    <t>This apple is super big.</t>
  </si>
  <si>
    <t>bù 不 | méi 没 | tài 太</t>
  </si>
  <si>
    <t>牛马</t>
  </si>
  <si>
    <t>a “grind worker,” a tool-like employee, someone who's always being used or exploited at work.</t>
  </si>
  <si>
    <t>trâu ngựa, sống kiếp trâu ngựa (cuộc sống vô cùng khổ sở)</t>
  </si>
  <si>
    <t>Chỉ những người làm việc vất vả, cực nhọc. 🐴</t>
  </si>
  <si>
    <t>他每天工作，像__一样。</t>
  </si>
  <si>
    <t>他每天工作，像**牛马**一样。</t>
  </si>
  <si>
    <t>tā měitiān gōngzuò, xiàng niúmǎ yíyàng.</t>
  </si>
  <si>
    <t>Anh ấy làm việc mỗi ngày, giống như **trâu ngựa**.</t>
  </si>
  <si>
    <t>He works every day, like a beast of burden.</t>
  </si>
  <si>
    <t>号码</t>
  </si>
  <si>
    <t>số (số điện thoại, số nhà...)</t>
  </si>
  <si>
    <t>Dãy số dùng để liên lạc hoặc nhận diện. 🔢</t>
  </si>
  <si>
    <t>你的电话__是多少？</t>
  </si>
  <si>
    <t>你的电话**号码**是多少？</t>
  </si>
  <si>
    <t>nǐ de diànhuà hàomǎ shì duōshao?</t>
  </si>
  <si>
    <t>**Số** điện thoại của bạn là bao nhiêu?</t>
  </si>
  <si>
    <t>What is your phone number?</t>
  </si>
  <si>
    <t>手</t>
  </si>
  <si>
    <t>Bộ phận cơ thể dùng để cầm nắm. ✋</t>
  </si>
  <si>
    <t>请洗_。</t>
  </si>
  <si>
    <t>请洗**手**。</t>
  </si>
  <si>
    <t>qǐng xǐ shǒu.</t>
  </si>
  <si>
    <t>Xin hãy rửa **tay**.</t>
  </si>
  <si>
    <t>Please wash your hands.</t>
  </si>
  <si>
    <t>tóu 头 | kǒu 口 | shuǐ 水</t>
  </si>
  <si>
    <t>头</t>
  </si>
  <si>
    <t>Bộ phận trên cùng của cơ thể người. 👤</t>
  </si>
  <si>
    <t>我的_很痛。</t>
  </si>
  <si>
    <t>我的**头**很痛。</t>
  </si>
  <si>
    <t>wǒ de tóu hěn tòng.</t>
  </si>
  <si>
    <t>**Đầu** của tôi rất đau.</t>
  </si>
  <si>
    <t>My head hurts a lot.</t>
  </si>
  <si>
    <t>shǒu 手 | kǒu 口 | xīn 心</t>
  </si>
  <si>
    <t>奶</t>
  </si>
  <si>
    <t>Thức uống dinh dưỡng màu trắng. 🥛</t>
  </si>
  <si>
    <t>我喜欢喝牛_。</t>
  </si>
  <si>
    <t>我喜欢喝牛**奶**。</t>
  </si>
  <si>
    <t>wǒ xǐhuan hē niúnǎi.</t>
  </si>
  <si>
    <t>Tôi thích uống **sữa** bò.</t>
  </si>
  <si>
    <t>I like to drink cow's milk.</t>
  </si>
  <si>
    <t>shuǐ 水 | chá 茶 | ròu 肉</t>
  </si>
  <si>
    <t>面条</t>
  </si>
  <si>
    <t>Món ăn dạng sợi làm từ bột mì. 🍜</t>
  </si>
  <si>
    <t>中午我们吃**面条**。</t>
  </si>
  <si>
    <t>zhōngwǔ wǒmen chī miàntiáo.</t>
  </si>
  <si>
    <t>Buổi trưa chúng tôi ăn **mì sợi**.</t>
  </si>
  <si>
    <t>We eat noodles at noon.</t>
  </si>
  <si>
    <t>饭馆</t>
  </si>
  <si>
    <t>Nơi phục vụ đồ ăn và thức uống cho khách. 🍽️
- Nhỏ hơn, quán ăn bình dân, tiệm cơm
- Chủ yếu chỉ phục vụ ăn uống</t>
  </si>
  <si>
    <t>我们中午去__吃饭。</t>
  </si>
  <si>
    <t>我们中午去**饭馆**吃饭。</t>
  </si>
  <si>
    <t>wǒmen zhōngwǔ qù fànguǎn chīfàn.</t>
  </si>
  <si>
    <t>Buổi trưa chúng tôi đi **quán ăn** ăn cơm.</t>
  </si>
  <si>
    <t>We go to the restaurant to eat at noon.</t>
  </si>
  <si>
    <t>饺子</t>
  </si>
  <si>
    <t>jiǎozi</t>
  </si>
  <si>
    <t>dumpling</t>
  </si>
  <si>
    <t>bánh chẻo</t>
  </si>
  <si>
    <t>Món ăn truyền thống của Trung Quốc dịp lễ Tết. 🥟</t>
  </si>
  <si>
    <t>过年我们吃__。</t>
  </si>
  <si>
    <t>过年我们吃**饺子**。</t>
  </si>
  <si>
    <t>guònián wǒmen chī jiǎozi.</t>
  </si>
  <si>
    <t>Tết chúng tôi ăn **bánh chẻo**.</t>
  </si>
  <si>
    <t>We eat dumplings during the New Year.</t>
  </si>
  <si>
    <t>bāozi 包子 | mǐfàn 米饭 | píngguǒ 苹果</t>
  </si>
  <si>
    <t>B10</t>
  </si>
  <si>
    <t>饭</t>
  </si>
  <si>
    <t>fàn</t>
  </si>
  <si>
    <t>cooked rice, meal</t>
  </si>
  <si>
    <t>Thức ăn chính làm từ gạo hoặc bữa ăn nói chung. 🍚</t>
  </si>
  <si>
    <t>我们一起吃晚_。</t>
  </si>
  <si>
    <t>我们一起吃晚**饭**。</t>
  </si>
  <si>
    <t>wǒmen yìqǐ chī wǎn fàn.</t>
  </si>
  <si>
    <t>Chúng ta cùng ăn tối (ăn **cơm** tối).</t>
  </si>
  <si>
    <t>Let's eat dinner together.</t>
  </si>
  <si>
    <t>cài 菜 | chá 茶 | shuǐ 水</t>
  </si>
  <si>
    <t>做</t>
  </si>
  <si>
    <t>do, make</t>
  </si>
  <si>
    <t>làm</t>
  </si>
  <si>
    <t>Thực hiện một hành động hoặc công việc. 🛠️</t>
  </si>
  <si>
    <t>我在家_作业。</t>
  </si>
  <si>
    <t>我在家**做**作业。</t>
  </si>
  <si>
    <t>wǒ zài jiā zuò zuòyè.</t>
  </si>
  <si>
    <t>Tôi **làm** bài tập ở nhà.</t>
  </si>
  <si>
    <t>I do homework at home.</t>
  </si>
  <si>
    <t>chī 吃 | hē 喝 | kàn 看</t>
  </si>
  <si>
    <t>面条儿</t>
  </si>
  <si>
    <t>miàntiáor</t>
  </si>
  <si>
    <t>noodles</t>
  </si>
  <si>
    <t>mì sợi</t>
  </si>
  <si>
    <t>Món ăn dạng sợi dài làm từ bột mì. 🍜</t>
  </si>
  <si>
    <t>我喜欢吃___。</t>
  </si>
  <si>
    <t>我喜欢吃**面条儿**。</t>
  </si>
  <si>
    <t>wǒ xǐhuan chī miàntiáor.</t>
  </si>
  <si>
    <t>Tôi thích ăn **mì**.</t>
  </si>
  <si>
    <t>I like to eat noodles.</t>
  </si>
  <si>
    <t>chūzūchē 出租车 | diànyǐngyuàn 电影院 | huǒ chē zhàn 火车站</t>
  </si>
  <si>
    <t>新</t>
  </si>
  <si>
    <t>xīn</t>
  </si>
  <si>
    <t>new</t>
  </si>
  <si>
    <t>mới</t>
  </si>
  <si>
    <t>Chưa qua sử dụng hoặc vừa mới xuất hiện. ✨</t>
  </si>
  <si>
    <t>我买了一部_手机。</t>
  </si>
  <si>
    <t>我买了一部**新**手机。</t>
  </si>
  <si>
    <t>wǒ mǎi le yí bù xīn shǒujī.</t>
  </si>
  <si>
    <t>Tôi mua một chiếc điện thoại **mới**.</t>
  </si>
  <si>
    <t>I bought a new mobile phone.</t>
  </si>
  <si>
    <t>电脑</t>
  </si>
  <si>
    <t>diànnǎo</t>
  </si>
  <si>
    <t>computer</t>
  </si>
  <si>
    <t>máy tính</t>
  </si>
  <si>
    <t>Thiết bị điện tử dùng để làm việc, học tập. 💻</t>
  </si>
  <si>
    <t>我用__学习汉语。</t>
  </si>
  <si>
    <t>我用**电脑**学习汉语。</t>
  </si>
  <si>
    <t>wǒ yòng diànnǎo xuéxí hànyǔ.</t>
  </si>
  <si>
    <t>Tôi dùng **máy tính** học tiếng Trung.</t>
  </si>
  <si>
    <t>I use a computer to study Chinese.</t>
  </si>
  <si>
    <t>diànshì 电视 | diànhuà 电话 | diànyǐng 电影</t>
  </si>
  <si>
    <t>菜</t>
  </si>
  <si>
    <t>cài</t>
  </si>
  <si>
    <t>dish, vegetable</t>
  </si>
  <si>
    <t>món ăn</t>
  </si>
  <si>
    <t>Thức ăn được chế biến để ăn cùng cơm. 🥗</t>
  </si>
  <si>
    <t>这家饭店的_很好吃。</t>
  </si>
  <si>
    <t>这家饭店的**菜**很好吃。</t>
  </si>
  <si>
    <t>zhè jiā fàndiàn de cài hěn hǎochī.</t>
  </si>
  <si>
    <t>**Món ăn** ở nhà hàng này rất ngon.</t>
  </si>
  <si>
    <t>The dishes in this restaurant are very delicious.</t>
  </si>
  <si>
    <t>fàn 饭 | chá 茶 | shuǐ 水</t>
  </si>
  <si>
    <t>好看</t>
  </si>
  <si>
    <t>hǎokàn</t>
  </si>
  <si>
    <t>good-looking</t>
  </si>
  <si>
    <t>đẹp</t>
  </si>
  <si>
    <t>Vẻ ngoài bắt mắt hoặc nội dung hấp dẫn. 🤩</t>
  </si>
  <si>
    <t>这部电影很__。</t>
  </si>
  <si>
    <t>这部电影很**好看**。</t>
  </si>
  <si>
    <t>Bộ phim này rất **hay** (đẹp).</t>
  </si>
  <si>
    <t>This movie is very good-looking.</t>
  </si>
  <si>
    <t>hǎochī 好吃 | piàoliang 漂亮 | gāoxìng 高兴</t>
  </si>
  <si>
    <t>真</t>
  </si>
  <si>
    <t>zhēn</t>
  </si>
  <si>
    <t>really, truly</t>
  </si>
  <si>
    <t>thật</t>
  </si>
  <si>
    <t>Nhấn mạnh mức độ chân thực, rất. 💯</t>
  </si>
  <si>
    <t>这家饭店_的很好。</t>
  </si>
  <si>
    <t>这家饭店**真**的很好。</t>
  </si>
  <si>
    <t>zhè jiā fàndiàn zhēn de hěn hǎo.</t>
  </si>
  <si>
    <t>Nhà hàng này **thật** sự rất tốt.</t>
  </si>
  <si>
    <t>This restaurant is really good.</t>
  </si>
  <si>
    <t>hěn 很 | tài 太 | dōu 都</t>
  </si>
  <si>
    <t>喜欢</t>
  </si>
  <si>
    <t>xǐhuan</t>
  </si>
  <si>
    <t>like</t>
  </si>
  <si>
    <t>thích</t>
  </si>
  <si>
    <t>Có cảm tình hoặc hứng thú với ai|cái gì. ❤️</t>
  </si>
  <si>
    <t>我很__中国文化。</t>
  </si>
  <si>
    <t>我很**喜欢**中国文化。</t>
  </si>
  <si>
    <t>wǒ hěn xǐhuan zhōngguó wénhuà.</t>
  </si>
  <si>
    <t>Tôi rất **thích** văn hóa Trung Quốc.</t>
  </si>
  <si>
    <t>I like Chinese culture very much.</t>
  </si>
  <si>
    <t>下</t>
  </si>
  <si>
    <t>xià</t>
  </si>
  <si>
    <t>down, below</t>
  </si>
  <si>
    <t>dưới | xuống</t>
  </si>
  <si>
    <t>Vị trí ở phía dưới một vật. ⬇️</t>
  </si>
  <si>
    <t>书在桌子_。</t>
  </si>
  <si>
    <t>书在桌子**下**。</t>
  </si>
  <si>
    <t>shū zài zhuōzi xià.</t>
  </si>
  <si>
    <t>Sách ở **dưới** bàn.</t>
  </si>
  <si>
    <t>The book is under the table.</t>
  </si>
  <si>
    <t>shàng 上 | lǐ 里 | wài 外</t>
  </si>
  <si>
    <t>下班</t>
  </si>
  <si>
    <t>xiàbān</t>
  </si>
  <si>
    <t>get off work</t>
  </si>
  <si>
    <t>tan làm</t>
  </si>
  <si>
    <t>Kết thúc thời gian làm việc trong ngày. 🏃‍♀️</t>
  </si>
  <si>
    <t>我六点__回家。</t>
  </si>
  <si>
    <t>我六点**下班**回家。</t>
  </si>
  <si>
    <t>wǒ liù diǎn xiàbān huí jiā.</t>
  </si>
  <si>
    <t>Tôi **tan làm** lúc 6 giờ rồi về nhà.</t>
  </si>
  <si>
    <t>I get off work at six o'clock and go home.</t>
  </si>
  <si>
    <t>shàngbān 上班 | shàngkè 上课 | xiàkè 下课</t>
  </si>
  <si>
    <t>做饭</t>
  </si>
  <si>
    <t>zuòfàn</t>
  </si>
  <si>
    <t>cook</t>
  </si>
  <si>
    <t>nấu ăn</t>
  </si>
  <si>
    <t>Chế biến thực phẩm thành món ăn. 🍳</t>
  </si>
  <si>
    <t>我妈妈每天__。</t>
  </si>
  <si>
    <t>我妈妈每天**做饭**。</t>
  </si>
  <si>
    <t>wǒ māma měitiān zuòfàn.</t>
  </si>
  <si>
    <t>Mẹ tôi **nấu ăn** mỗi ngày.</t>
  </si>
  <si>
    <t>My mother cooks every day.</t>
  </si>
  <si>
    <t>shuìjiào 睡觉 | kàn shū 看书 | shàngbān 上班</t>
  </si>
  <si>
    <t>看</t>
  </si>
  <si>
    <t>kàn</t>
  </si>
  <si>
    <t>look, watch, read</t>
  </si>
  <si>
    <t>xem</t>
  </si>
  <si>
    <t>Dùng mắt để quan sát sự vật. 👀</t>
  </si>
  <si>
    <t>晚上我_电视学习汉语。</t>
  </si>
  <si>
    <t>晚上我**看**电视学习汉语。</t>
  </si>
  <si>
    <t>wǎnshang wǒ kàn diànshì xuéxí hànyǔ.</t>
  </si>
  <si>
    <t>Buổi tối tôi **xem** TV học tiếng Trung.</t>
  </si>
  <si>
    <t>I watch TV and study Chinese in the evening.</t>
  </si>
  <si>
    <t>tīng 听 | xiě 写 | dú 读</t>
  </si>
  <si>
    <t>上</t>
  </si>
  <si>
    <t>shàng</t>
  </si>
  <si>
    <t>up, above</t>
  </si>
  <si>
    <t>trên | lên</t>
  </si>
  <si>
    <t>Vị trí ở phía trên một vật. ⬆️</t>
  </si>
  <si>
    <t>书在桌子**上**。</t>
  </si>
  <si>
    <t>shū zài zhuōzi shang.</t>
  </si>
  <si>
    <t>Sách ở **trên** bàn.</t>
  </si>
  <si>
    <t>The book is on the table.</t>
  </si>
  <si>
    <t>xià 下 | lǐ 里 | wài 外</t>
  </si>
  <si>
    <t>上班</t>
  </si>
  <si>
    <t>shàngbān</t>
  </si>
  <si>
    <t>go to work</t>
  </si>
  <si>
    <t>đi làm</t>
  </si>
  <si>
    <t>Bắt đầu công việc tại nơi làm việc. 💼</t>
  </si>
  <si>
    <t>我八点__。</t>
  </si>
  <si>
    <t>我八点**上班**。</t>
  </si>
  <si>
    <t>wǒ bā diǎn shàngbān.</t>
  </si>
  <si>
    <t>Tôi **đi làm** lúc 8 giờ.</t>
  </si>
  <si>
    <t>I go to work at eight o'clock.</t>
  </si>
  <si>
    <t>xiàbān 下班 | shàngkè 上课 | xiàkè 下课</t>
  </si>
  <si>
    <t>会</t>
  </si>
  <si>
    <t>huì</t>
  </si>
  <si>
    <t>can, will</t>
  </si>
  <si>
    <t>biết, sẽ</t>
  </si>
  <si>
    <t>Có khả năng làm gì đó thông qua học tập. 🧠</t>
  </si>
  <si>
    <t>我_说一点儿汉语。</t>
  </si>
  <si>
    <t>我**会**说一点儿汉语。</t>
  </si>
  <si>
    <t>wǒ huì shuō yìdiǎnr hànyǔ.</t>
  </si>
  <si>
    <t>Tôi **biết** nói một chút tiếng Trung.</t>
  </si>
  <si>
    <t>I can speak a little Chinese.</t>
  </si>
  <si>
    <t>xiǎng 想 | yào 要 | néng 能</t>
  </si>
  <si>
    <t>休息</t>
  </si>
  <si>
    <t>xiūxi</t>
  </si>
  <si>
    <t>rest</t>
  </si>
  <si>
    <t>nghỉ ngơi</t>
  </si>
  <si>
    <t>Dừng hoạt động để phục hồi sức khỏe. 🛋️</t>
  </si>
  <si>
    <t>周末我在家__。</t>
  </si>
  <si>
    <t>周末我在家**休息**。</t>
  </si>
  <si>
    <t>zhōumò wǒ zài jiā xiūxi.</t>
  </si>
  <si>
    <t>Cuối tuần tôi **nghỉ ngơi** ở nhà.</t>
  </si>
  <si>
    <t>I rest at home on the weekend.</t>
  </si>
  <si>
    <t>xuéxí 学习 | gōngzuò 工作 | shuìjiào 睡觉</t>
  </si>
  <si>
    <t>一些</t>
  </si>
  <si>
    <t>yīxiē</t>
  </si>
  <si>
    <t>some</t>
  </si>
  <si>
    <t>một số</t>
  </si>
  <si>
    <t>Một lượng nhỏ không xác định. 🍎</t>
  </si>
  <si>
    <t>我买了__水果。</t>
  </si>
  <si>
    <t>我买了**一些**水果。</t>
  </si>
  <si>
    <t>wǒ mǎi le yìxiē shuǐguǒ.</t>
  </si>
  <si>
    <t>Tôi mua **một ít** trái cây.</t>
  </si>
  <si>
    <t>I bought some fruits.</t>
  </si>
  <si>
    <t>yì diǎn 一点 | yíxià 一下 | yí gè 一个</t>
  </si>
  <si>
    <t>两个月</t>
  </si>
  <si>
    <t>Khoảng thời gian kéo dài khoảng 60 ngày. ⏳</t>
  </si>
  <si>
    <t>我学汉语___了。</t>
  </si>
  <si>
    <t>我学汉语**两个月**了。</t>
  </si>
  <si>
    <t>wǒ xué hànyǔ liǎng gè yuè le.</t>
  </si>
  <si>
    <t>Tôi học tiếng Trung được **hai tháng** rồi.</t>
  </si>
  <si>
    <t>I have studied Chinese for two months.</t>
  </si>
  <si>
    <t>sān gè yuè 三个月 | sì gè yuè 四个月 | wǔ gè yuè 五个月</t>
  </si>
  <si>
    <t>二月</t>
  </si>
  <si>
    <t>Tháng thứ hai trong năm. 🗓️</t>
  </si>
  <si>
    <t>__有二十八天。</t>
  </si>
  <si>
    <t>**二月**有二十八天。</t>
  </si>
  <si>
    <t>èryuè yǒu èrshíbā tiān.</t>
  </si>
  <si>
    <t>**Tháng hai** có 28 ngày.</t>
  </si>
  <si>
    <t>February has 28 days.</t>
  </si>
  <si>
    <t>sānyuè 三月 | sìyuè 四月 | wǔyuè 五月</t>
  </si>
  <si>
    <t>一月</t>
  </si>
  <si>
    <t>Tháng đầu tiên trong năm. 🗓️</t>
  </si>
  <si>
    <t>__是一年的第一个月。</t>
  </si>
  <si>
    <t>**一月**是一年的第一个月。</t>
  </si>
  <si>
    <t>yīyuè shì yì nián de dì yí gè yuè.</t>
  </si>
  <si>
    <t>**Tháng một** là tháng đầu tiên của một năm.</t>
  </si>
  <si>
    <t>January is the first month of the year.</t>
  </si>
  <si>
    <t>èryuè 二月 | sānyuè 三月 | sìyuè 四月</t>
  </si>
  <si>
    <t>加油</t>
  </si>
  <si>
    <t>cố lên</t>
  </si>
  <si>
    <t>Lời động viên ai đó cố gắng hơn. 💪</t>
  </si>
  <si>
    <t>明天考试，你要__！</t>
  </si>
  <si>
    <t>明天考试，你要**加油**！</t>
  </si>
  <si>
    <t>míngtiān kǎoshì, nǐ yào jiāyóu!</t>
  </si>
  <si>
    <t>Ngày mai thi, bạn phải **cố lên**!</t>
  </si>
  <si>
    <t>You have an exam tomorrow, you need to cheer up!</t>
  </si>
  <si>
    <t>xiūxi 休息 | shuìjiào 睡觉 | xiàbān 下班</t>
  </si>
  <si>
    <t>加班</t>
  </si>
  <si>
    <t>Làm việc quá giờ quy định. 🏢</t>
  </si>
  <si>
    <t>今天工作很多，我要__。</t>
  </si>
  <si>
    <t>今天工作很多，我要**加班**。</t>
  </si>
  <si>
    <t>jīntiān gōngzuò hěn duō, wǒ yào jiābān.</t>
  </si>
  <si>
    <t>Hôm nay công việc rất nhiều, tôi phải **tăng ca**.</t>
  </si>
  <si>
    <t>There is a lot of work today, I have to work overtime.</t>
  </si>
  <si>
    <t>十二月</t>
  </si>
  <si>
    <t>Tháng cuối cùng trong năm. ❄️</t>
  </si>
  <si>
    <t>___很冷。</t>
  </si>
  <si>
    <t>**十二月**很冷。</t>
  </si>
  <si>
    <t>shí'èryuè hěn lěng.</t>
  </si>
  <si>
    <t>**Tháng mười hai** rất lạnh.</t>
  </si>
  <si>
    <t>December is very cold.</t>
  </si>
  <si>
    <t>shíyīyuè 十一月 | xīngqīyī 星期一 | xīngqītiān 星期天</t>
  </si>
  <si>
    <t>加</t>
  </si>
  <si>
    <t>thêm vào, cộng</t>
  </si>
  <si>
    <t>Làm tăng thêm số lượng hoặc mức độ. ➕</t>
  </si>
  <si>
    <t>请给我_一点儿水。</t>
  </si>
  <si>
    <t>请给我**加**一点儿水。</t>
  </si>
  <si>
    <t>qǐng gěi wǒ jiā yìdiǎnr shuǐ.</t>
  </si>
  <si>
    <t>Làm ơn **thêm** cho tôi một chút nước.</t>
  </si>
  <si>
    <t>Please add a little water for me.</t>
  </si>
  <si>
    <t>chī 吃 | hē 喝 | mǎi 买</t>
  </si>
  <si>
    <t>假</t>
  </si>
  <si>
    <t>Không phải là thật. 🤥</t>
  </si>
  <si>
    <t>这个东西是_的。</t>
  </si>
  <si>
    <t>这个东西是**假**的。</t>
  </si>
  <si>
    <t>zhège dōngxi shì jiǎ de.</t>
  </si>
  <si>
    <t>Đồ vật này là **giả**.</t>
  </si>
  <si>
    <t>This thing is fake.</t>
  </si>
  <si>
    <t>班</t>
  </si>
  <si>
    <t>bān</t>
  </si>
  <si>
    <t>class</t>
  </si>
  <si>
    <t>lớp học</t>
  </si>
  <si>
    <t>Tập thể học sinh cùng học một chương trình. 🏫</t>
  </si>
  <si>
    <t>我们_有十个学生。</t>
  </si>
  <si>
    <t>我们**班**有十个学生。</t>
  </si>
  <si>
    <t>wǒmen bān yǒu shí gè xuésheng.</t>
  </si>
  <si>
    <t>**Lớp học** của chúng tôi có mười học sinh.</t>
  </si>
  <si>
    <t>Our class has ten students.</t>
  </si>
  <si>
    <t>jiā 家 | guó 国 | diàn 店</t>
  </si>
  <si>
    <t>油</t>
  </si>
  <si>
    <t>Chất lỏng dùng để nấu ăn hoặc làm nhiên liệu. 🛢️</t>
  </si>
  <si>
    <t>这个菜有很多_。</t>
  </si>
  <si>
    <t>这个菜有很多**油**。</t>
  </si>
  <si>
    <t>zhège cài yǒu hěn duō yóu.</t>
  </si>
  <si>
    <t>Món ăn này có rất nhiều **dầu**.</t>
  </si>
  <si>
    <t>This dish has a lot of oil.</t>
  </si>
  <si>
    <t>shuǐ 水 | chá 茶 | fàn 饭</t>
  </si>
  <si>
    <t>牛</t>
  </si>
  <si>
    <t>cow</t>
  </si>
  <si>
    <t>trâu, bò (nói chung)</t>
  </si>
  <si>
    <t>Loài động vật cho sữa và thịt. 🐄</t>
  </si>
  <si>
    <t>那是一头_。</t>
  </si>
  <si>
    <t>那是一头**牛**。</t>
  </si>
  <si>
    <t>nà shì yì tóu niú.</t>
  </si>
  <si>
    <t>Kia là một **con bò**.</t>
  </si>
  <si>
    <t>That is a cow.</t>
  </si>
  <si>
    <t>gǒu 狗 | māo 猫 | rén 人</t>
  </si>
  <si>
    <t>肉</t>
  </si>
  <si>
    <t>Thực phẩm từ động vật. 🥩</t>
  </si>
  <si>
    <t>我喜欢吃_。</t>
  </si>
  <si>
    <t>我喜欢吃**肉**。</t>
  </si>
  <si>
    <t>wǒ xǐhuan chī ròu.</t>
  </si>
  <si>
    <t>Tôi thích ăn **thịt**.</t>
  </si>
  <si>
    <t>I like to eat meat.</t>
  </si>
  <si>
    <t>cài 菜 | fàn 饭 | miàn 面</t>
  </si>
  <si>
    <t>不要</t>
  </si>
  <si>
    <t>bùyào</t>
  </si>
  <si>
    <t>do not</t>
  </si>
  <si>
    <t>đừng</t>
  </si>
  <si>
    <t>Khuyên bảo hoặc yêu cầu ai đó không làm gì. 🛑</t>
  </si>
  <si>
    <t>上课的时候__说话。</t>
  </si>
  <si>
    <t>上课的时候**不要**说话。</t>
  </si>
  <si>
    <t>shàngkè de shíhou búyào shuōhuà.</t>
  </si>
  <si>
    <t>Khi học **đừng** nói chuyện.</t>
  </si>
  <si>
    <t>Don't talk during class.</t>
  </si>
  <si>
    <t>bù xiǎng 不想 | bú huì 不会 | bú shì 不是</t>
  </si>
  <si>
    <t>B</t>
  </si>
  <si>
    <t>水</t>
  </si>
  <si>
    <t>shuǐ</t>
  </si>
  <si>
    <t>water</t>
  </si>
  <si>
    <t>nước</t>
  </si>
  <si>
    <t>Chất lỏng trong suốt, cần thiết cho sự sống. 💧</t>
  </si>
  <si>
    <t>请给我一杯_。</t>
  </si>
  <si>
    <t>请给我一杯**水**。</t>
  </si>
  <si>
    <t>qǐng gěi wǒ yì bēi shuǐ.</t>
  </si>
  <si>
    <t>Làm ơn cho tôi một cốc **nước**.</t>
  </si>
  <si>
    <t>Please give me a glass of water.</t>
  </si>
  <si>
    <t>chá 茶 | fàn 饭 | cài 菜</t>
  </si>
  <si>
    <t>爱</t>
  </si>
  <si>
    <t>ài</t>
  </si>
  <si>
    <t>love</t>
  </si>
  <si>
    <t>yêu</t>
  </si>
  <si>
    <t>Dùng để thể hiện tình cảm sâu sắc. ❤️</t>
  </si>
  <si>
    <t>我很_我的家人。</t>
  </si>
  <si>
    <t>我很**爱**我的家人。</t>
  </si>
  <si>
    <t>wǒ hěn ài wǒ de jiārén.</t>
  </si>
  <si>
    <t>Tôi rất **yêu** gia đình của tôi.</t>
  </si>
  <si>
    <t>I love my family very much.</t>
  </si>
  <si>
    <t>喝</t>
  </si>
  <si>
    <t>hē</t>
  </si>
  <si>
    <t>drink</t>
  </si>
  <si>
    <t>uống</t>
  </si>
  <si>
    <t>Đưa chất lỏng vào cơ thể qua miệng. 🥤</t>
  </si>
  <si>
    <t>我早上_咖啡。</t>
  </si>
  <si>
    <t>我早上**喝**咖啡。</t>
  </si>
  <si>
    <t>wǒ zǎoshang hē kāfēi.</t>
  </si>
  <si>
    <t>Buổi sáng tôi **uống** cà phê.</t>
  </si>
  <si>
    <t>I drink coffee in the morning.</t>
  </si>
  <si>
    <t>chī 吃 | kàn 看 | mǎi 买</t>
  </si>
  <si>
    <t>贵</t>
  </si>
  <si>
    <t>guì</t>
  </si>
  <si>
    <t>expensive</t>
  </si>
  <si>
    <t>đắt</t>
  </si>
  <si>
    <t>Giá cả cao hơn mức bình thường. 💰</t>
  </si>
  <si>
    <t>这件衣服太_了。</t>
  </si>
  <si>
    <t>这件衣服太**贵**了。</t>
  </si>
  <si>
    <t>zhè jiàn yīfu tài guì le.</t>
  </si>
  <si>
    <t>Bộ quần áo này **đắt** quá.</t>
  </si>
  <si>
    <t>This piece of clothing is too expensive.</t>
  </si>
  <si>
    <t>了</t>
  </si>
  <si>
    <t>le</t>
  </si>
  <si>
    <t>completed action marker</t>
  </si>
  <si>
    <t>Đứng cuối câu biểu thị hành động đã hoàn thành. ✔️</t>
  </si>
  <si>
    <t>我吃饭_。</t>
  </si>
  <si>
    <t>我吃饭**了**。</t>
  </si>
  <si>
    <t>wǒ chīfàn le.</t>
  </si>
  <si>
    <t>Tôi ăn cơm **rồi**.</t>
  </si>
  <si>
    <t>I have eaten.</t>
  </si>
  <si>
    <t>de 的 | ma 吗 | ne 呢</t>
  </si>
  <si>
    <t>衣服</t>
  </si>
  <si>
    <t>yīfú</t>
  </si>
  <si>
    <t>clothes</t>
  </si>
  <si>
    <t>quần áo</t>
  </si>
  <si>
    <t>Đồ mặc trên người để che chắn, giữ ấm. 👗</t>
  </si>
  <si>
    <t>这件__很漂亮。</t>
  </si>
  <si>
    <t>这件**衣服**很漂亮。</t>
  </si>
  <si>
    <t>zhè jiàn yīfu hěn piàoliang.</t>
  </si>
  <si>
    <t>Bộ **quần áo** này rất đẹp.</t>
  </si>
  <si>
    <t>This piece of clothing is very beautiful.</t>
  </si>
  <si>
    <t>dōngxi 东西 | shuǐguǒ 水果 | píngguǒ 苹果</t>
  </si>
  <si>
    <t>再</t>
  </si>
  <si>
    <t>again</t>
  </si>
  <si>
    <t>lại</t>
  </si>
  <si>
    <t>Hành động lặp lại trong tương lai. 🔄</t>
  </si>
  <si>
    <t>明天_来吧。</t>
  </si>
  <si>
    <t>明天**再**来吧。</t>
  </si>
  <si>
    <t>míngtiān zài lái ba.</t>
  </si>
  <si>
    <t>Ngày mai **lại** đến nhé.</t>
  </si>
  <si>
    <t>Come again tomorrow.</t>
  </si>
  <si>
    <t>dōu 都 | yě 也 | hěn 很</t>
  </si>
  <si>
    <t>写</t>
  </si>
  <si>
    <t>xiě</t>
  </si>
  <si>
    <t>write</t>
  </si>
  <si>
    <t>viết</t>
  </si>
  <si>
    <t>Dùng bút tạo ra chữ trên giấy. ✍️</t>
  </si>
  <si>
    <t>我每天_汉字。</t>
  </si>
  <si>
    <t>我每天**写**汉字。</t>
  </si>
  <si>
    <t>wǒ měitiān xiě hànzì.</t>
  </si>
  <si>
    <t>Tôi **viết** chữ Hán mỗi ngày.</t>
  </si>
  <si>
    <t>I write Chinese characters every day.</t>
  </si>
  <si>
    <t>dú 读 | kàn 看 | tīng 听</t>
  </si>
  <si>
    <t>书店</t>
  </si>
  <si>
    <t>shūdiàn</t>
  </si>
  <si>
    <t>bookstore</t>
  </si>
  <si>
    <t>hiệu sách</t>
  </si>
  <si>
    <t>Cửa hàng chuyên bán các loại sách. 📚</t>
  </si>
  <si>
    <t>学校旁边有__。</t>
  </si>
  <si>
    <t>学校旁边有**书店**。</t>
  </si>
  <si>
    <t>xuéxiào pángbiān yǒu shūdiàn.</t>
  </si>
  <si>
    <t>Bên cạnh trường có **hiệu sách**.</t>
  </si>
  <si>
    <t>There is a bookstore next to the school.</t>
  </si>
  <si>
    <t>fàndiàn 饭店 | shāngdiàn 商店 | yīyuàn 医院</t>
  </si>
  <si>
    <t>商店</t>
  </si>
  <si>
    <t>shāngdiàn</t>
  </si>
  <si>
    <t>cửa hàng</t>
  </si>
  <si>
    <t>Nơi bán các loại hàng hóa. 🏪</t>
  </si>
  <si>
    <t>这家__卖衣服。</t>
  </si>
  <si>
    <t>这家**商店**卖衣服。</t>
  </si>
  <si>
    <t>zhè jiā shāngdiàn mài yīfu.</t>
  </si>
  <si>
    <t>**Cửa hàng** này bán quần áo.</t>
  </si>
  <si>
    <t>This shop sells clothes.</t>
  </si>
  <si>
    <t>fàndiàn 饭店 | yīyuàn 医院 | xuéxiào 学校</t>
  </si>
  <si>
    <t>房间</t>
  </si>
  <si>
    <t>fángjiān</t>
  </si>
  <si>
    <t>room</t>
  </si>
  <si>
    <t>phòng</t>
  </si>
  <si>
    <t>Không gian được ngăn cách trong một ngôi nhà. 🚪</t>
  </si>
  <si>
    <t>我的__不大，但是很干净。</t>
  </si>
  <si>
    <t>我的**房间**不大，但是很干净。</t>
  </si>
  <si>
    <t>wǒ de fángjiān bù dà, dànshì hěn gānjìng.</t>
  </si>
  <si>
    <t>**Phòng** tôi không lớn nhưng rất sạch.</t>
  </si>
  <si>
    <t>My room is not big, but very clean.</t>
  </si>
  <si>
    <t>fáng zi 房子 | xuéxiào 学校 | yīyuàn 医院</t>
  </si>
  <si>
    <t>B14</t>
  </si>
  <si>
    <t>火车</t>
  </si>
  <si>
    <t>huǒchē</t>
  </si>
  <si>
    <t>train</t>
  </si>
  <si>
    <t>tàu hỏa</t>
  </si>
  <si>
    <t>Phương tiện giao thông chạy trên đường ray. 🚂</t>
  </si>
  <si>
    <t>我们坐__去上海。</t>
  </si>
  <si>
    <t>我们坐**火车**去上海。</t>
  </si>
  <si>
    <t>wǒmen zuò huǒchē qù shànghǎi.</t>
  </si>
  <si>
    <t>Chúng tôi đi Thượng Hải bằng **tàu hỏa**.</t>
  </si>
  <si>
    <t>We take a train to Shanghai.</t>
  </si>
  <si>
    <t>fēijī 飞机 | diànnǎo 电脑 | diànshì 电视</t>
  </si>
  <si>
    <t>第</t>
  </si>
  <si>
    <t>dì</t>
  </si>
  <si>
    <t>prefix for ordinal numbers</t>
  </si>
  <si>
    <t>thứ</t>
  </si>
  <si>
    <t>Tiền tố dùng để tạo số thứ tự. 🔢</t>
  </si>
  <si>
    <t>这是我_一次来中国。</t>
  </si>
  <si>
    <t>这是我**第**一次来中国。</t>
  </si>
  <si>
    <t>zhè shì wǒ dì yí cì lái zhōngguó.</t>
  </si>
  <si>
    <t>Đây là lần **thứ** nhất tôi đến Trung Quốc.</t>
  </si>
  <si>
    <t>This is my first time coming to China.</t>
  </si>
  <si>
    <t>块</t>
  </si>
  <si>
    <t>kuài</t>
  </si>
  <si>
    <t>piece, yuan</t>
  </si>
  <si>
    <t>đồng | miếng</t>
  </si>
  <si>
    <t>Đơn vị tiền tệ phổ biến của Trung Quốc. 💵</t>
  </si>
  <si>
    <t>这件衣服一百_。</t>
  </si>
  <si>
    <t>这件衣服一百**块**。</t>
  </si>
  <si>
    <t>zhè jiàn yīfu yì bǎi kuài.</t>
  </si>
  <si>
    <t>Bộ quần áo này 100 **tệ** (đồng).</t>
  </si>
  <si>
    <t>This piece of clothing is one hundred yuan.</t>
  </si>
  <si>
    <t>们</t>
  </si>
  <si>
    <t>men</t>
  </si>
  <si>
    <t>plural marker</t>
  </si>
  <si>
    <t>số nhiều</t>
  </si>
  <si>
    <t>Hậu tố thêm vào đại từ để chỉ số nhiều. 👥</t>
  </si>
  <si>
    <t>我_是同学。</t>
  </si>
  <si>
    <t>我**们**是同学。</t>
  </si>
  <si>
    <t>wǒmen shì tóngxué.</t>
  </si>
  <si>
    <t>Chúng **tôi** là bạn học.</t>
  </si>
  <si>
    <t>We are classmates.</t>
  </si>
  <si>
    <t>些</t>
  </si>
  <si>
    <t>xiē</t>
  </si>
  <si>
    <t>some, a few</t>
  </si>
  <si>
    <t>một ít</t>
  </si>
  <si>
    <t>Lượng từ chỉ số lượng không xác định. 🍎</t>
  </si>
  <si>
    <t>我买了一_水果。</t>
  </si>
  <si>
    <t>我买了一**些**水果。</t>
  </si>
  <si>
    <t>wǒ mǎi le yì xiē shuǐguǒ.</t>
  </si>
  <si>
    <t>Tôi mua một **ít** trái cây.</t>
  </si>
  <si>
    <t>只</t>
  </si>
  <si>
    <t>zhǐ</t>
  </si>
  <si>
    <t>measure word for animals</t>
  </si>
  <si>
    <t>con (lượng từ)</t>
  </si>
  <si>
    <t>Lượng từ dùng cho động vật nhỏ. 🐱</t>
  </si>
  <si>
    <t>我家有一_猫。</t>
  </si>
  <si>
    <t>我家有一**只**猫。</t>
  </si>
  <si>
    <t>wǒ jiā yǒu yì zhī māo.</t>
  </si>
  <si>
    <t>Nhà tôi có một **con** mèo.</t>
  </si>
  <si>
    <t>My family has a cat.</t>
  </si>
  <si>
    <t>件</t>
  </si>
  <si>
    <t>jiàn</t>
  </si>
  <si>
    <t>piece (measure word)</t>
  </si>
  <si>
    <t>Lượng từ dùng cho quần áo, sự việc. 👗</t>
  </si>
  <si>
    <t>我买了两_衣服。</t>
  </si>
  <si>
    <t>我买了两**件**衣服。</t>
  </si>
  <si>
    <t>wǒ mǎi le liǎng jiàn yīfu.</t>
  </si>
  <si>
    <t>Tôi mua hai **bộ** quần áo.</t>
  </si>
  <si>
    <t>I bought two pieces of clothing.</t>
  </si>
  <si>
    <t>gè 个 | běn 本 | zhī 只</t>
  </si>
  <si>
    <t>猫</t>
  </si>
  <si>
    <t>māo</t>
  </si>
  <si>
    <t>cat</t>
  </si>
  <si>
    <t>mèo</t>
  </si>
  <si>
    <t>Loài động vật nhỏ nuôi trong nhà để bắt chuột. 🐱</t>
  </si>
  <si>
    <t>这只_很可爱。</t>
  </si>
  <si>
    <t>这只**猫**很可爱。</t>
  </si>
  <si>
    <t>zhè zhī māo hěn kě'ài.</t>
  </si>
  <si>
    <t>Con **mèo** này rất đáng yêu.</t>
  </si>
  <si>
    <t>This cat is very cute.</t>
  </si>
  <si>
    <t>gǒu 狗 | shū 书 | shuǐ 水</t>
  </si>
  <si>
    <t>好听</t>
  </si>
  <si>
    <t>hǎotīng</t>
  </si>
  <si>
    <t>pleasant to hear</t>
  </si>
  <si>
    <t>hay</t>
  </si>
  <si>
    <t>Âm thanh êm tai, dễ chịu. 🎶</t>
  </si>
  <si>
    <t>她的声音很__。</t>
  </si>
  <si>
    <t>她的声音很**好听**。</t>
  </si>
  <si>
    <t>tā de shēngyīn hěn hǎotīng.</t>
  </si>
  <si>
    <t>Giọng cô ấy rất **hay**.</t>
  </si>
  <si>
    <t>Her voice is very pleasant to hear.</t>
  </si>
  <si>
    <t>hǎokàn 好看 | hǎochī 好吃 | piàoliang 漂亮</t>
  </si>
  <si>
    <t>能</t>
  </si>
  <si>
    <t>néng</t>
  </si>
  <si>
    <t>can, be able to</t>
  </si>
  <si>
    <t>có thể</t>
  </si>
  <si>
    <t>Biểu thị khả năng hoặc điều kiện cho phép. 💪</t>
  </si>
  <si>
    <t>我今天不_去。</t>
  </si>
  <si>
    <t>我今天不**能**去。</t>
  </si>
  <si>
    <t>wǒ jīntiān bù néng qù.</t>
  </si>
  <si>
    <t>Hôm nay tôi không **thể** đi.</t>
  </si>
  <si>
    <t>I cannot go today.</t>
  </si>
  <si>
    <t>huì 会 | xiǎng 想 | yào 要</t>
  </si>
  <si>
    <t>飞机</t>
  </si>
  <si>
    <t>fēijī</t>
  </si>
  <si>
    <t>airplane</t>
  </si>
  <si>
    <t>máy bay</t>
  </si>
  <si>
    <t>Phương tiện giao thông di chuyển trên không. ✈️</t>
  </si>
  <si>
    <t>我第一次坐__去中国。</t>
  </si>
  <si>
    <t>我第一次坐**飞机**去中国。</t>
  </si>
  <si>
    <t>wǒ dì yí cì zuò fēijī qù zhōngguó.</t>
  </si>
  <si>
    <t>Lần đầu tôi đi Trung Quốc bằng **máy bay**.</t>
  </si>
  <si>
    <t>I take an airplane to China for the first time.</t>
  </si>
  <si>
    <t>huǒchē 火车 | diànnǎo 电脑 | diànshì 电视</t>
  </si>
  <si>
    <t>可以</t>
  </si>
  <si>
    <t>kěyǐ</t>
  </si>
  <si>
    <t>can, may</t>
  </si>
  <si>
    <t>Biểu thị sự cho phép hoặc khả năng. ✅</t>
  </si>
  <si>
    <t>你__坐在这里。</t>
  </si>
  <si>
    <t>你**可以**坐在这里。</t>
  </si>
  <si>
    <t>nǐ kěyǐ zuò zài zhèlǐ.</t>
  </si>
  <si>
    <t>Bạn **có thể** ngồi ở đây.</t>
  </si>
  <si>
    <t>You can sit here.</t>
  </si>
  <si>
    <t>juéde 觉得 | zhīdào 知道 | rènshi 认识</t>
  </si>
  <si>
    <t>打电话</t>
  </si>
  <si>
    <t>dǎdiànhuà</t>
  </si>
  <si>
    <t>make a phone call</t>
  </si>
  <si>
    <t>gọi điện</t>
  </si>
  <si>
    <t>Hành động liên lạc bằng điện thoại. ☎️</t>
  </si>
  <si>
    <t>我晚上给妈妈___。</t>
  </si>
  <si>
    <t>我晚上给妈妈**打电话**。</t>
  </si>
  <si>
    <t>wǒ wǎnshang gěi māma dǎ diànhuà.</t>
  </si>
  <si>
    <t>Buổi tối tôi **gọi điện** cho mẹ.</t>
  </si>
  <si>
    <t>I call my mother in the evening.</t>
  </si>
  <si>
    <t>kàn diàn shì 看电视 | mǎi dōng xī 买东西 | chī wǎn fàn 吃晚饭</t>
  </si>
  <si>
    <t>说话</t>
  </si>
  <si>
    <t>shuōhuà</t>
  </si>
  <si>
    <t>speak, talk</t>
  </si>
  <si>
    <t>nói chuyện</t>
  </si>
  <si>
    <t>Hành động trao đổi bằng lời nói. 💬</t>
  </si>
  <si>
    <t>上课不要__。</t>
  </si>
  <si>
    <t>上课不要**说话**。</t>
  </si>
  <si>
    <t>shàngkè búyào shuōhuà.</t>
  </si>
  <si>
    <t>Trong giờ học đừng **nói chuyện**.</t>
  </si>
  <si>
    <t>kàn shū 看书 | shuìjiào 睡觉 | zuòfàn 做饭</t>
  </si>
  <si>
    <t>听</t>
  </si>
  <si>
    <t>tīng</t>
  </si>
  <si>
    <t>listen</t>
  </si>
  <si>
    <t>nghe</t>
  </si>
  <si>
    <t>Dùng tai để nhận biết âm thanh. 👂</t>
  </si>
  <si>
    <t>我喜欢_中国音乐。</t>
  </si>
  <si>
    <t>我喜欢**听**中国音乐。</t>
  </si>
  <si>
    <t>wǒ xǐhuan tīng zhōngguó yīnyuè.</t>
  </si>
  <si>
    <t>Tôi thích **nghe** nhạc Trung Quốc.</t>
  </si>
  <si>
    <t>I like listening to Chinese music.</t>
  </si>
  <si>
    <t>kàn 看 | shuō 说 | dú 读</t>
  </si>
  <si>
    <t>找</t>
  </si>
  <si>
    <t>zhǎo</t>
  </si>
  <si>
    <t>look for</t>
  </si>
  <si>
    <t>tìm</t>
  </si>
  <si>
    <t>Cố gắng phát hiện ra người hoặc vật. 🔍</t>
  </si>
  <si>
    <t>我在_我的手机。</t>
  </si>
  <si>
    <t>我在**找**我的手机。</t>
  </si>
  <si>
    <t>wǒ zài zhǎo wǒ de shǒujī.</t>
  </si>
  <si>
    <t>Tôi đang **tìm** điện thoại.</t>
  </si>
  <si>
    <t>I am looking for my phone.</t>
  </si>
  <si>
    <t>kàn 看 | tīng 听 | mǎi 买</t>
  </si>
  <si>
    <t>睡</t>
  </si>
  <si>
    <t>shuì</t>
  </si>
  <si>
    <t>sleep</t>
  </si>
  <si>
    <t>ngủ</t>
  </si>
  <si>
    <t>Trạng thái nghỉ ngơi của cơ thể, nhắm mắt. 😴</t>
  </si>
  <si>
    <t>我晚上十一点_觉。</t>
  </si>
  <si>
    <t>我晚上十一点**睡**觉。</t>
  </si>
  <si>
    <t>wǒ wǎnshang shíyī diǎn shuì jiào.</t>
  </si>
  <si>
    <t>Tôi **ngủ** lúc 11 giờ tối.</t>
  </si>
  <si>
    <t>I sleep at eleven o'clock in the evening.</t>
  </si>
  <si>
    <t>kàn 看 | tīng 听 | xiě 写</t>
  </si>
  <si>
    <t>玩</t>
  </si>
  <si>
    <t>wán</t>
  </si>
  <si>
    <t>play</t>
  </si>
  <si>
    <t>chơi</t>
  </si>
  <si>
    <t>Tham gia hoạt động giải trí, vui chơi. 🎮</t>
  </si>
  <si>
    <t>周末我和朋友一起_。</t>
  </si>
  <si>
    <t>周末我和朋友一起**玩**。</t>
  </si>
  <si>
    <t>zhōumò wǒ hé péngyou yìqǐ wán.</t>
  </si>
  <si>
    <t>Cuối tuần tôi **chơi** cùng bạn bè.</t>
  </si>
  <si>
    <t>I play with my friends on the weekend.</t>
  </si>
  <si>
    <t>学</t>
  </si>
  <si>
    <t>xué</t>
  </si>
  <si>
    <t>học</t>
  </si>
  <si>
    <t>Tiếp thu kiến thức hoặc kỹ năng mới. 📖</t>
  </si>
  <si>
    <t>我_汉语一年了。</t>
  </si>
  <si>
    <t>我**学**汉语一年了。</t>
  </si>
  <si>
    <t>wǒ xué hànyǔ yì nián le.</t>
  </si>
  <si>
    <t>Tôi **học** tiếng Trung được một năm rồi.</t>
  </si>
  <si>
    <t>I have studied Chinese for a year.</t>
  </si>
  <si>
    <t>见</t>
  </si>
  <si>
    <t>see, meet</t>
  </si>
  <si>
    <t>gặp</t>
  </si>
  <si>
    <t>Nhìn thấy hoặc tiếp xúc với ai đó. 👀</t>
  </si>
  <si>
    <t>明天_老师。</t>
  </si>
  <si>
    <t>明天**见**老师。</t>
  </si>
  <si>
    <t>míngtiān jiàn lǎoshī.</t>
  </si>
  <si>
    <t>Ngày mai **gặp** thầy giáo.</t>
  </si>
  <si>
    <t>See the teacher tomorrow.</t>
  </si>
  <si>
    <t>给</t>
  </si>
  <si>
    <t>gěi</t>
  </si>
  <si>
    <t>give</t>
  </si>
  <si>
    <t>cho</t>
  </si>
  <si>
    <t>Hành động chuyển giao cái gì đó cho ai. 🎁</t>
  </si>
  <si>
    <t>老师_我们作业。</t>
  </si>
  <si>
    <t>老师**给**我们作业。</t>
  </si>
  <si>
    <t>lǎoshī gěi wǒmen zuòyè.</t>
  </si>
  <si>
    <t>Giáo viên giao (đưa **cho**) chúng tôi bài tập.</t>
  </si>
  <si>
    <t>The teacher gives us homework.</t>
  </si>
  <si>
    <t>kàn 看 | zhǎo 找 | mǎi 买</t>
  </si>
  <si>
    <t>开</t>
  </si>
  <si>
    <t>kāi</t>
  </si>
  <si>
    <t>open, drive</t>
  </si>
  <si>
    <t>mở</t>
  </si>
  <si>
    <t>Làm cho một vật không còn đóng kín nữa. 🚪</t>
  </si>
  <si>
    <t>老师_门走进教室。</t>
  </si>
  <si>
    <t>老师**开**门走进教室。</t>
  </si>
  <si>
    <t>lǎoshī kāi mén zǒujìn jiàoshì.</t>
  </si>
  <si>
    <t>Thầy giáo **mở** cửa bước vào lớp.</t>
  </si>
  <si>
    <t>The teacher opens the door and walks into the classroom.</t>
  </si>
  <si>
    <t>读书</t>
  </si>
  <si>
    <t>dúshū</t>
  </si>
  <si>
    <t>read a book, study</t>
  </si>
  <si>
    <t>Hành động đọc sách hoặc học tập. 📚</t>
  </si>
  <si>
    <t>他在图书馆__。</t>
  </si>
  <si>
    <t>他在图书馆**读书**。</t>
  </si>
  <si>
    <t>tā zài túshūguǎn dúshū.</t>
  </si>
  <si>
    <t>Anh ấy **học** ở thư viện.</t>
  </si>
  <si>
    <t>He studies in the library.</t>
  </si>
  <si>
    <t>kànbìng 看病 | shuìjiào 睡觉 | zuòfàn 做饭</t>
  </si>
  <si>
    <t>元</t>
  </si>
  <si>
    <t>yuán</t>
  </si>
  <si>
    <t>yuan</t>
  </si>
  <si>
    <t>tệ (đơn vị tiền)</t>
  </si>
  <si>
    <t>Đơn vị tiền tệ chính thức của Trung Quốc. 💴</t>
  </si>
  <si>
    <t>这本书二十_。</t>
  </si>
  <si>
    <t>这本书二十**元**。</t>
  </si>
  <si>
    <t>zhè běn shū èrshí yuán.</t>
  </si>
  <si>
    <t>Quyển sách này 20 **tệ**.</t>
  </si>
  <si>
    <t>This book is twenty yuan.</t>
  </si>
  <si>
    <t>kuài 块 | gè 个 | běn 本</t>
  </si>
  <si>
    <t>学生</t>
  </si>
  <si>
    <t>xuésheng</t>
  </si>
  <si>
    <t>student</t>
  </si>
  <si>
    <t>học sinh</t>
  </si>
  <si>
    <t>Người đang theo học tại trường. 🎒</t>
  </si>
  <si>
    <t>他是中__。</t>
  </si>
  <si>
    <t>他是中**学生**。</t>
  </si>
  <si>
    <t>tā shì zhōngxuésheng.</t>
  </si>
  <si>
    <t>Cậu ấy là **học sinh** trung học.</t>
  </si>
  <si>
    <t>He is a middle school student.</t>
  </si>
  <si>
    <t>lǎoshī 老师 | yīshēng 医生 | péngyou 朋友</t>
  </si>
  <si>
    <t>热</t>
  </si>
  <si>
    <t>rè</t>
  </si>
  <si>
    <t>hot</t>
  </si>
  <si>
    <t>nóng</t>
  </si>
  <si>
    <t>Nhiệt độ cao, mang lại cảm giác oi bức. ☀️</t>
  </si>
  <si>
    <t>今天很_。</t>
  </si>
  <si>
    <t>今天很**热**。</t>
  </si>
  <si>
    <t>jīntiān hěn rè.</t>
  </si>
  <si>
    <t>Hôm nay rất **nóng**.</t>
  </si>
  <si>
    <t>It is very hot today.</t>
  </si>
  <si>
    <t>lěng 冷 | dà 大 | xiǎo 小</t>
  </si>
  <si>
    <t>忙</t>
  </si>
  <si>
    <t>máng</t>
  </si>
  <si>
    <t>busy</t>
  </si>
  <si>
    <t>bận</t>
  </si>
  <si>
    <t>Có nhiều việc phải làm, không rảnh rỗi. 🏃‍♂️</t>
  </si>
  <si>
    <t>最近我很_。</t>
  </si>
  <si>
    <t>最近我很**忙**。</t>
  </si>
  <si>
    <t>zuìjìn wǒ hěn máng.</t>
  </si>
  <si>
    <t>Gần đây tôi rất **bận**.</t>
  </si>
  <si>
    <t>I am very busy recently.</t>
  </si>
  <si>
    <t>lěng 冷 | rè 热 | dà 大</t>
  </si>
  <si>
    <t>外边</t>
  </si>
  <si>
    <t>wàibian</t>
  </si>
  <si>
    <t>outside</t>
  </si>
  <si>
    <t>bên ngoài</t>
  </si>
  <si>
    <t>Vị trí ở phía ngoài một khu vực. 🌳</t>
  </si>
  <si>
    <t>他在__等你。</t>
  </si>
  <si>
    <t>他在**外边**等你。</t>
  </si>
  <si>
    <t>tā zài wàibiān děng nǐ.</t>
  </si>
  <si>
    <t>Anh ấy đang đợi bạn ở **bên ngoài**.</t>
  </si>
  <si>
    <t>He is waiting for you outside.</t>
  </si>
  <si>
    <t>lǐ biān 里边 | qián miàn 前面 | hòu miàn 后面</t>
  </si>
  <si>
    <t>外</t>
  </si>
  <si>
    <t>wài</t>
  </si>
  <si>
    <t>ngoài</t>
  </si>
  <si>
    <t>Phía bên ngoài, trái ngược với bên trong. 🚪</t>
  </si>
  <si>
    <t>_面很冷。</t>
  </si>
  <si>
    <t>**外**面很冷。</t>
  </si>
  <si>
    <t>wàimiàn hěn lěng.</t>
  </si>
  <si>
    <t>Bên **ngoài** rất lạnh.</t>
  </si>
  <si>
    <t>It is very cold outside.</t>
  </si>
  <si>
    <t>lǐ 里 | shàng 上 | xià 下</t>
  </si>
  <si>
    <t>喂</t>
  </si>
  <si>
    <t>wèi</t>
  </si>
  <si>
    <t>hello (on phone)</t>
  </si>
  <si>
    <t>a lô</t>
  </si>
  <si>
    <t>Từ dùng để gọi hoặc nghe điện thoại. 📞</t>
  </si>
  <si>
    <t>_，请问是王老师吗？</t>
  </si>
  <si>
    <t>**喂**，请问是王老师吗？</t>
  </si>
  <si>
    <t>wèi, qǐngwèn shì wáng lǎoshī ma?</t>
  </si>
  <si>
    <t>**A lô**, xin hỏi có phải thầy Vương không?</t>
  </si>
  <si>
    <t>Hello, is this Teacher Wang?</t>
  </si>
  <si>
    <t>穿</t>
  </si>
  <si>
    <t>chuān</t>
  </si>
  <si>
    <t>wear</t>
  </si>
  <si>
    <t>mặc</t>
  </si>
  <si>
    <t>Hành động khoác quần áo lên người. 👕</t>
  </si>
  <si>
    <t>今天他_了一件新衣服。</t>
  </si>
  <si>
    <t>今天他**穿**了一件新衣服。</t>
  </si>
  <si>
    <t>jīntiān tā chuān le yí jiàn xīn yīfu.</t>
  </si>
  <si>
    <t>Hôm nay anh ấy **mặc** đồ mới.</t>
  </si>
  <si>
    <t>Today he wore a new piece of clothing.</t>
  </si>
  <si>
    <t>狗</t>
  </si>
  <si>
    <t>gǒu</t>
  </si>
  <si>
    <t>dog</t>
  </si>
  <si>
    <t>chó</t>
  </si>
  <si>
    <t>Loài động vật nuôi trung thành trong nhà. 🐶</t>
  </si>
  <si>
    <t>他家的_很可爱。</t>
  </si>
  <si>
    <t>他家的**狗**很可爱。</t>
  </si>
  <si>
    <t>tā jiā de gǒu hěn kě'ài.</t>
  </si>
  <si>
    <t>Con **chó** nhà anh ấy rất đáng yêu.</t>
  </si>
  <si>
    <t>His dog is very cute.</t>
  </si>
  <si>
    <t>māo 猫 | shū 书 | shuǐ 水</t>
  </si>
  <si>
    <t>好玩儿</t>
  </si>
  <si>
    <t>hǎowánr</t>
  </si>
  <si>
    <t>fun, amusing</t>
  </si>
  <si>
    <t>vui</t>
  </si>
  <si>
    <t>Mang lại sự giải trí, thú vị. 🎢</t>
  </si>
  <si>
    <t>这个地方很___。</t>
  </si>
  <si>
    <t>这个地方很**好玩儿**。</t>
  </si>
  <si>
    <t>zhège dìfang hěn hǎowánr.</t>
  </si>
  <si>
    <t>Nơi này rất **vui**.</t>
  </si>
  <si>
    <t>This place is very fun.</t>
  </si>
  <si>
    <t>一点儿</t>
  </si>
  <si>
    <t>yīdiǎnr</t>
  </si>
  <si>
    <t>a little</t>
  </si>
  <si>
    <t>một chút</t>
  </si>
  <si>
    <t>Số lượng rất ít. 🤏</t>
  </si>
  <si>
    <t>我会说___汉语。</t>
  </si>
  <si>
    <t>我会说**一点儿**汉语。</t>
  </si>
  <si>
    <t>Tôi biết nói **một chút** tiếng Trung.</t>
  </si>
  <si>
    <t>有点儿</t>
  </si>
  <si>
    <t>yǒudiǎnr</t>
  </si>
  <si>
    <t>a little bit</t>
  </si>
  <si>
    <t>hơi</t>
  </si>
  <si>
    <t>Mức độ nhẹ, thường mang ý không hài lòng. 🤏</t>
  </si>
  <si>
    <t>今天___冷。</t>
  </si>
  <si>
    <t>今天**有点儿**冷。</t>
  </si>
  <si>
    <t>jīntiān yǒudiǎnr lěng.</t>
  </si>
  <si>
    <t>Hôm nay **hơi** lạnh.</t>
  </si>
  <si>
    <t>It is a little cold today.</t>
  </si>
  <si>
    <t>怎么样</t>
  </si>
  <si>
    <t>zěnmeyàng</t>
  </si>
  <si>
    <t>how about</t>
  </si>
  <si>
    <t>Hỏi về tính chất, tình trạng hoặc ý kiến. 🤔</t>
  </si>
  <si>
    <t>这本书___？</t>
  </si>
  <si>
    <t>这本书**怎么样**？</t>
  </si>
  <si>
    <t>zhè běn shū zěnmeyàng?</t>
  </si>
  <si>
    <t>Quyển sách này **thế nào**?</t>
  </si>
  <si>
    <t>How is this book?</t>
  </si>
  <si>
    <t>不</t>
  </si>
  <si>
    <t>bù</t>
  </si>
  <si>
    <t>no, not</t>
  </si>
  <si>
    <t>không</t>
  </si>
  <si>
    <t>Dùng để phủ định một hành động hoặc trạng thái. ❌</t>
  </si>
  <si>
    <t>今天我_想出门。</t>
  </si>
  <si>
    <t>今天我**不**想出门。</t>
  </si>
  <si>
    <t>jīntiān wǒ bù xiǎng chūmén.</t>
  </si>
  <si>
    <t>Hôm nay tôi **không** muốn ra ngoài.</t>
  </si>
  <si>
    <t>I don't want to go out today.</t>
  </si>
  <si>
    <t>méi 没 | hěn 很 | tài 太</t>
  </si>
  <si>
    <t>姐姐</t>
  </si>
  <si>
    <t>jiějie</t>
  </si>
  <si>
    <t>older sister</t>
  </si>
  <si>
    <t>chị gái</t>
  </si>
  <si>
    <t>Người con gái sinh trước mình trong gia đình. 👧</t>
  </si>
  <si>
    <t>我__在银行工作。</t>
  </si>
  <si>
    <t>我**姐姐**在银行工作。</t>
  </si>
  <si>
    <t>wǒ jiějie zài yínháng gōngzuò.</t>
  </si>
  <si>
    <t>**Chị** tôi làm việc ở ngân hàng.</t>
  </si>
  <si>
    <t>My older sister works in a bank.</t>
  </si>
  <si>
    <t>mèimei 妹妹 | gēge 哥哥 | dìdi 弟弟</t>
  </si>
  <si>
    <t>边</t>
  </si>
  <si>
    <t>biān</t>
  </si>
  <si>
    <t>side</t>
  </si>
  <si>
    <t>bên, phía</t>
  </si>
  <si>
    <t>Chỉ phương hướng hoặc vị trí. 🧭</t>
  </si>
  <si>
    <t>他坐在我旁_。</t>
  </si>
  <si>
    <t>他坐在我旁**边**。</t>
  </si>
  <si>
    <t>tā zuò zài wǒ pángbiān.</t>
  </si>
  <si>
    <t>Anh ấy ngồi **bên** cạnh tôi.</t>
  </si>
  <si>
    <t>He sits next to me.</t>
  </si>
  <si>
    <t>miàn 面 | lǐ 里 | wài 外</t>
  </si>
  <si>
    <t>这</t>
  </si>
  <si>
    <t>zhè</t>
  </si>
  <si>
    <t>this</t>
  </si>
  <si>
    <t>này</t>
  </si>
  <si>
    <t>Đại từ chỉ định sự vật ở gần người nói. 👇</t>
  </si>
  <si>
    <t>_是我的书。</t>
  </si>
  <si>
    <t>**这**是我的书。</t>
  </si>
  <si>
    <t>zhè shì wǒ de shū.</t>
  </si>
  <si>
    <t>**Đây** là sách của tôi.</t>
  </si>
  <si>
    <t>This is my book.</t>
  </si>
  <si>
    <t>nà 那 | nǎ 哪 | shéi 谁</t>
  </si>
  <si>
    <t>这边</t>
  </si>
  <si>
    <t>zhèbiān</t>
  </si>
  <si>
    <t>this side, here</t>
  </si>
  <si>
    <t>bên này</t>
  </si>
  <si>
    <t>Vị trí ở gần người nói. 🧭</t>
  </si>
  <si>
    <t>__请。</t>
  </si>
  <si>
    <t>**这边**请。</t>
  </si>
  <si>
    <t>zhèbiān qǐng.</t>
  </si>
  <si>
    <t>Mời đi **bên này**.</t>
  </si>
  <si>
    <t>This way, please.</t>
  </si>
  <si>
    <t>nàbiān 那边 | qián miàn 前面 | hòu miàn 后面</t>
  </si>
  <si>
    <t>这个</t>
  </si>
  <si>
    <t>zhège</t>
  </si>
  <si>
    <t>this one</t>
  </si>
  <si>
    <t>cái này</t>
  </si>
  <si>
    <t>Chỉ một vật cụ thể ở gần. 👇</t>
  </si>
  <si>
    <t>我要__。</t>
  </si>
  <si>
    <t>我要**这个**。</t>
  </si>
  <si>
    <t>wǒ yào zhège.</t>
  </si>
  <si>
    <t>Tôi muốn **cái này**.</t>
  </si>
  <si>
    <t>I want this one.</t>
  </si>
  <si>
    <t>nàge 那个 | nǎge 哪个 | nàxiē 那些</t>
  </si>
  <si>
    <t>有的</t>
  </si>
  <si>
    <t>yǒu de</t>
  </si>
  <si>
    <t>có cái</t>
  </si>
  <si>
    <t>Một bộ phận trong một tổng thể. 🧩</t>
  </si>
  <si>
    <t>__人喜欢喝茶。</t>
  </si>
  <si>
    <t>**有的**人喜欢喝茶。</t>
  </si>
  <si>
    <t>yǒude rén xǐhuan hē chá.</t>
  </si>
  <si>
    <t>**Có** người thích uống trà.</t>
  </si>
  <si>
    <t>Some people like to drink tea.</t>
  </si>
  <si>
    <t>nàge 那个 | zhège 这个 | nǎxiē 哪些</t>
  </si>
  <si>
    <t>女</t>
  </si>
  <si>
    <t>nǚ</t>
  </si>
  <si>
    <t>female</t>
  </si>
  <si>
    <t>nữ</t>
  </si>
  <si>
    <t>Giới tính nữ. 👩</t>
  </si>
  <si>
    <t>她是_老师。</t>
  </si>
  <si>
    <t>她是**女**老师。</t>
  </si>
  <si>
    <t>tā shì nǚ lǎoshī.</t>
  </si>
  <si>
    <t>Cô ấy là giáo viên **nữ**.</t>
  </si>
  <si>
    <t>She is a female teacher.</t>
  </si>
  <si>
    <t>nán 男 | dà 大 | xiǎo 小</t>
  </si>
  <si>
    <t>女朋友</t>
  </si>
  <si>
    <t>nǚpéngyou</t>
  </si>
  <si>
    <t>girlfriend</t>
  </si>
  <si>
    <t>bạn gái</t>
  </si>
  <si>
    <t>Người yêu mang giới tính nữ. 💑</t>
  </si>
  <si>
    <t>他有一个___。</t>
  </si>
  <si>
    <t>他有一个**女朋友**。</t>
  </si>
  <si>
    <t>tā yǒu yí gè nǚpéngyou.</t>
  </si>
  <si>
    <t>Anh ấy có **bạn gái**.</t>
  </si>
  <si>
    <t>He has a girlfriend.</t>
  </si>
  <si>
    <t>nánpéngyou 男朋友 | dàxuéshēng 大学生 | zhōngxuéshēng 中学生</t>
  </si>
  <si>
    <t>这些</t>
  </si>
  <si>
    <t>zhèxiē</t>
  </si>
  <si>
    <t>these</t>
  </si>
  <si>
    <t>những cái này</t>
  </si>
  <si>
    <t>Chỉ số nhiều sự vật ở gần. 📚</t>
  </si>
  <si>
    <t>__问题很简单。</t>
  </si>
  <si>
    <t>**这些**问题很简单。</t>
  </si>
  <si>
    <t>zhèxiē wèntí hěn jiǎndān.</t>
  </si>
  <si>
    <t>**Những** câu hỏi **này** rất đơn giản.</t>
  </si>
  <si>
    <t>These questions are very simple.</t>
  </si>
  <si>
    <t>nàxiē 那些 | nǎxiē 哪些 | nàge 那个</t>
  </si>
  <si>
    <t>有些</t>
  </si>
  <si>
    <t>yǒuxiē</t>
  </si>
  <si>
    <t>Một vài người hoặc sự vật nào đó. 👥</t>
  </si>
  <si>
    <t>__问题不太难。</t>
  </si>
  <si>
    <t>**有些**问题不太难。</t>
  </si>
  <si>
    <t>yǒuxiē wèntí bú tài nán.</t>
  </si>
  <si>
    <t>**Một số** câu hỏi không quá khó.</t>
  </si>
  <si>
    <t>Some questions are not too difficult.</t>
  </si>
  <si>
    <t>nàxiē 那些 | zhèxiē 这些 | nǎxiē 哪些</t>
  </si>
  <si>
    <t>吗</t>
  </si>
  <si>
    <t>ma</t>
  </si>
  <si>
    <t>trợ từ hỏi</t>
  </si>
  <si>
    <t>Đặt ở cuối câu để tạo thành câu hỏi Có|Không. ❓</t>
  </si>
  <si>
    <t>你是学生_？</t>
  </si>
  <si>
    <t>你是学生**吗**？</t>
  </si>
  <si>
    <t>nǐ shì xuésheng ma?</t>
  </si>
  <si>
    <t>Bạn là học sinh phải **không**?</t>
  </si>
  <si>
    <t>Are you a student?</t>
  </si>
  <si>
    <t>ne 呢 | de 的 | le 了</t>
  </si>
  <si>
    <t>我</t>
  </si>
  <si>
    <t>wǒ</t>
  </si>
  <si>
    <t>I, me</t>
  </si>
  <si>
    <t>tôi</t>
  </si>
  <si>
    <t>Đại từ nhân xưng ngôi thứ nhất số ít. 🙋‍♂️</t>
  </si>
  <si>
    <t>_很喜欢学习汉语。</t>
  </si>
  <si>
    <t>**我**很喜欢学习汉语。</t>
  </si>
  <si>
    <t>wǒ hěn xǐhuan xuéxí hànyǔ.</t>
  </si>
  <si>
    <t>**Tôi** rất thích học tiếng Trung.</t>
  </si>
  <si>
    <t>I like studying Chinese very much.</t>
  </si>
  <si>
    <t>nǐ 你 | tā 他 | tā 她</t>
  </si>
  <si>
    <t>您</t>
  </si>
  <si>
    <t>nín</t>
  </si>
  <si>
    <t>you (polite)</t>
  </si>
  <si>
    <t>ngài</t>
  </si>
  <si>
    <t>Cách xưng hô lịch sự, tôn trọng với người đối diện. 🤝</t>
  </si>
  <si>
    <t>_好，老师。</t>
  </si>
  <si>
    <t>**您**好，老师。</t>
  </si>
  <si>
    <t>nín hǎo, lǎoshī.</t>
  </si>
  <si>
    <t>Chào thầy|cô (**ngài**) ạ.</t>
  </si>
  <si>
    <t>Hello, teacher.</t>
  </si>
  <si>
    <t>nǐ 你 | wǒ 我 | tā 他</t>
  </si>
  <si>
    <t>再见</t>
  </si>
  <si>
    <t>zàijiàn</t>
  </si>
  <si>
    <t>goodbye</t>
  </si>
  <si>
    <t>tạm biệt</t>
  </si>
  <si>
    <t>Lời chào khi chia tay. 👋</t>
  </si>
  <si>
    <t>老师，__！</t>
  </si>
  <si>
    <t>老师，**再见**！</t>
  </si>
  <si>
    <t>lǎoshī, zàijiàn!</t>
  </si>
  <si>
    <t>Thầy|cô, **tạm biệt** ạ!</t>
  </si>
  <si>
    <t>Goodbye, teacher!</t>
  </si>
  <si>
    <t>nǐhǎo 你好 | xièxie 谢谢 | qǐngwèn 请问</t>
  </si>
  <si>
    <t>我们</t>
  </si>
  <si>
    <t>wǒmen</t>
  </si>
  <si>
    <t>we, us</t>
  </si>
  <si>
    <t>chúng tôi</t>
  </si>
  <si>
    <t>Đại từ nhân xưng ngôi thứ nhất số nhiều. 🧑‍🤝‍🧑</t>
  </si>
  <si>
    <t>__明天一起去学校。</t>
  </si>
  <si>
    <t>**我们**明天一起去学校。</t>
  </si>
  <si>
    <t>wǒmen míngtiān yìqǐ qù xuéxiào.</t>
  </si>
  <si>
    <t>**Chúng tôi** ngày mai cùng đi học.</t>
  </si>
  <si>
    <t>We go to school together tomorrow.</t>
  </si>
  <si>
    <t>nǐmen 你们 | tāmen 他们 | tāmen 她们</t>
  </si>
  <si>
    <t>男</t>
  </si>
  <si>
    <t>nán</t>
  </si>
  <si>
    <t>male</t>
  </si>
  <si>
    <t>nam</t>
  </si>
  <si>
    <t>Giới tính nam. 👨</t>
  </si>
  <si>
    <t>他是_老师。</t>
  </si>
  <si>
    <t>他是**男**老师。</t>
  </si>
  <si>
    <t>tā shì nán lǎoshī.</t>
  </si>
  <si>
    <t>Anh ấy là giáo viên **nam**.</t>
  </si>
  <si>
    <t>He is a male teacher.</t>
  </si>
  <si>
    <t>nǚ 女 | dà 大 | xiǎo 小</t>
  </si>
  <si>
    <t>男朋友</t>
  </si>
  <si>
    <t>nánpéngyou</t>
  </si>
  <si>
    <t>boyfriend</t>
  </si>
  <si>
    <t>bạn trai</t>
  </si>
  <si>
    <t>Người yêu mang giới tính nam. 💑</t>
  </si>
  <si>
    <t>她有一个___。</t>
  </si>
  <si>
    <t>她有一个**男朋友**。</t>
  </si>
  <si>
    <t>tā yǒu yí gè nánpéngyou.</t>
  </si>
  <si>
    <t>Cô ấy có một **bạn trai**.</t>
  </si>
  <si>
    <t>She has a boyfriend.</t>
  </si>
  <si>
    <t>nǚpéngyou 女朋友 | dàxuéshēng 大学生 | zhōngxuéshēng 中学生</t>
  </si>
  <si>
    <t>先生</t>
  </si>
  <si>
    <t>xiānsheng</t>
  </si>
  <si>
    <t>Mr., sir</t>
  </si>
  <si>
    <t>ông, ngài</t>
  </si>
  <si>
    <t>Cách gọi lịch sự dành cho nam giới. 👨‍💼</t>
  </si>
  <si>
    <t>王__是我的朋友。</t>
  </si>
  <si>
    <t>王**先生**是我的朋友。</t>
  </si>
  <si>
    <t>wáng xiānsheng shì wǒ de péngyou.</t>
  </si>
  <si>
    <t>**Ông** Vương là bạn của tôi.</t>
  </si>
  <si>
    <t>Mr. Wang is my friend.</t>
  </si>
  <si>
    <t>nǚshì 女士 | lǎoshī 老师 | yīshēng 医生</t>
  </si>
  <si>
    <t>同学</t>
  </si>
  <si>
    <t>tóngxué</t>
  </si>
  <si>
    <t>classmate</t>
  </si>
  <si>
    <t>bạn học</t>
  </si>
  <si>
    <t>Người học cùng lớp hoặc cùng trường. 🎒</t>
  </si>
  <si>
    <t>我的__来自很多国家。</t>
  </si>
  <si>
    <t>我的**同学**来自很多国家。</t>
  </si>
  <si>
    <t>wǒ de tóngxué láizì hěn duō guójiā.</t>
  </si>
  <si>
    <t>**Bạn học** của tôi đến từ nhiều nước.</t>
  </si>
  <si>
    <t>My classmates come from many countries.</t>
  </si>
  <si>
    <t>péngyou 朋友 | lǎoshī 老师 | yīshēng 医生</t>
  </si>
  <si>
    <t>家人</t>
  </si>
  <si>
    <t>jiārén</t>
  </si>
  <si>
    <t>family member</t>
  </si>
  <si>
    <t>người nhà</t>
  </si>
  <si>
    <t>Những người cùng huyết thống sống chung. 👨‍👩‍👧</t>
  </si>
  <si>
    <t>我的__都很健康。</t>
  </si>
  <si>
    <t>我的**家人**都很健康。</t>
  </si>
  <si>
    <t>wǒ de jiārén dōu hěn jiànkāng.</t>
  </si>
  <si>
    <t>**Gia đình** tôi đều khỏe mạnh.</t>
  </si>
  <si>
    <t>My family members are all healthy.</t>
  </si>
  <si>
    <t>péngyou 朋友 | tóngxué 同学 | lǎoshī 老师</t>
  </si>
  <si>
    <t>漂亮</t>
  </si>
  <si>
    <t>piàoliang</t>
  </si>
  <si>
    <t>beautiful</t>
  </si>
  <si>
    <t>Ngoại hình thu hút, bắt mắt. ✨</t>
  </si>
  <si>
    <t>她的中文写得很__。</t>
  </si>
  <si>
    <t>她的中文写得很**漂亮**。</t>
  </si>
  <si>
    <t>tā de zhōngwén xiě de hěn piàoliang.</t>
  </si>
  <si>
    <t>Cô ấy viết chữ Trung rất **đẹp**.</t>
  </si>
  <si>
    <t>She writes Chinese very beautifully.</t>
  </si>
  <si>
    <t>piányi 便宜 | gāoxìng 高兴 | hǎokàn 好看</t>
  </si>
  <si>
    <t>便宜</t>
  </si>
  <si>
    <t>piányi</t>
  </si>
  <si>
    <t>cheap</t>
  </si>
  <si>
    <t>rẻ</t>
  </si>
  <si>
    <t>Giá cả thấp, dễ mua. 🏷️</t>
  </si>
  <si>
    <t>这件衣服很__。</t>
  </si>
  <si>
    <t>这件衣服很**便宜**。</t>
  </si>
  <si>
    <t>zhè jiàn yīfu hěn piányi.</t>
  </si>
  <si>
    <t>Bộ quần áo này rất **rẻ**.</t>
  </si>
  <si>
    <t>This piece of clothing is very cheap.</t>
  </si>
  <si>
    <t>piàoliang 漂亮 | gāoxìng 高兴 | hǎokàn 好看</t>
  </si>
  <si>
    <t>高兴</t>
  </si>
  <si>
    <t>gāoxìng</t>
  </si>
  <si>
    <t>happy, glad</t>
  </si>
  <si>
    <t>Trạng thái cảm xúc tích cực, vui vẻ. 😄</t>
  </si>
  <si>
    <t>见到老朋友我很__。</t>
  </si>
  <si>
    <t>见到老朋友我很**高兴**。</t>
  </si>
  <si>
    <t>jiàndào lǎo péngyou wǒ hěn gāoxìng.</t>
  </si>
  <si>
    <t>Gặp bạn cũ tôi rất **vui**.</t>
  </si>
  <si>
    <t>I am very happy to meet an old friend.</t>
  </si>
  <si>
    <t>piàoliang 漂亮 | piányi 便宜 | hǎochī 好吃</t>
  </si>
  <si>
    <t>鸡蛋</t>
  </si>
  <si>
    <t>jīdàn</t>
  </si>
  <si>
    <t>egg</t>
  </si>
  <si>
    <t>trứng gà</t>
  </si>
  <si>
    <t>Thực phẩm phổ biến cung cấp nhiều protein. 🥚</t>
  </si>
  <si>
    <t>早餐我吃__和面包。</t>
  </si>
  <si>
    <t>早餐我吃**鸡蛋**和面包。</t>
  </si>
  <si>
    <t>zǎocān wǒ chī jīdàn hé miànbāo.</t>
  </si>
  <si>
    <t>Bữa sáng tôi ăn **trứng** và bánh mì.</t>
  </si>
  <si>
    <t>I eat eggs and bread for breakfast.</t>
  </si>
  <si>
    <t>水果</t>
  </si>
  <si>
    <t>shuǐguǒ</t>
  </si>
  <si>
    <t>fruit</t>
  </si>
  <si>
    <t>trái cây</t>
  </si>
  <si>
    <t>Quả của cây trồng dùng để ăn. 🍉</t>
  </si>
  <si>
    <t>我每天吃**水果**。</t>
  </si>
  <si>
    <t>wǒ měitiān chī shuǐguǒ.</t>
  </si>
  <si>
    <t>Tôi ăn **trái cây** mỗi ngày.</t>
  </si>
  <si>
    <t>I eat fruit every day.</t>
  </si>
  <si>
    <t>病</t>
  </si>
  <si>
    <t>bìng</t>
  </si>
  <si>
    <t>sickness</t>
  </si>
  <si>
    <t>bệnh</t>
  </si>
  <si>
    <t>Tình trạng cơ thể không khỏe. 🤒</t>
  </si>
  <si>
    <t>他因为生_没来上课。</t>
  </si>
  <si>
    <t>他因为生**病**没来上课。</t>
  </si>
  <si>
    <t>tā yīnwèi shēngbìng méi lái shàngkè.</t>
  </si>
  <si>
    <t>Anh ấy vì bị **bệnh** nên không đến lớp.</t>
  </si>
  <si>
    <t>He didn't come to class because he was sick.</t>
  </si>
  <si>
    <t>qì 气 | shì 事 | rén 人</t>
  </si>
  <si>
    <t>睡觉</t>
  </si>
  <si>
    <t>shuìjiào</t>
  </si>
  <si>
    <t>Hành động đi vào giấc ngủ. 🛌</t>
  </si>
  <si>
    <t>孩子已经__了。</t>
  </si>
  <si>
    <t>孩子已经**睡觉**了。</t>
  </si>
  <si>
    <t>háizi yǐjīng shuìjiào le.</t>
  </si>
  <si>
    <t>Đứa trẻ đã **ngủ** rồi.</t>
  </si>
  <si>
    <t>The child is already sleeping.</t>
  </si>
  <si>
    <t>qǐchuáng 起床 | shàngbān 上班 | xiàbān 下班</t>
  </si>
  <si>
    <t>到</t>
  </si>
  <si>
    <t>dào</t>
  </si>
  <si>
    <t>arrive</t>
  </si>
  <si>
    <t>đến</t>
  </si>
  <si>
    <t>Di chuyển tới một địa điểm nào đó. 📍</t>
  </si>
  <si>
    <t>我八点_学校。</t>
  </si>
  <si>
    <t>我八点**到**学校。</t>
  </si>
  <si>
    <t>wǒ bā diǎn dào xuéxiào.</t>
  </si>
  <si>
    <t>Tôi **đến** trường lúc 8 giờ.</t>
  </si>
  <si>
    <t>I arrive at school at 8 o'clock.</t>
  </si>
  <si>
    <t>qù 去 | huí 回 | lái 来</t>
  </si>
  <si>
    <t>回</t>
  </si>
  <si>
    <t>huí</t>
  </si>
  <si>
    <t>return</t>
  </si>
  <si>
    <t>về</t>
  </si>
  <si>
    <t>Trở lại vị trí hoặc trạng thái ban đầu. 🏠</t>
  </si>
  <si>
    <t>晚上我_家做饭。</t>
  </si>
  <si>
    <t>晚上我**回**家做饭。</t>
  </si>
  <si>
    <t>wǎnshang wǒ huí jiā zuòfàn.</t>
  </si>
  <si>
    <t>Buổi tối tôi **về** nhà nấu ăn.</t>
  </si>
  <si>
    <t>I go back home to cook in the evening.</t>
  </si>
  <si>
    <t>住</t>
  </si>
  <si>
    <t>zhù</t>
  </si>
  <si>
    <t>live, stay</t>
  </si>
  <si>
    <t>Sinh sống tại một địa điểm nào đó. 🏠</t>
  </si>
  <si>
    <t>我_在河内。</t>
  </si>
  <si>
    <t>我**住**在河内。</t>
  </si>
  <si>
    <t>wǒ zhù zài hénèi.</t>
  </si>
  <si>
    <t>Tôi sống (**ở**) tại Hà Nội.</t>
  </si>
  <si>
    <t>I live in Hanoi.</t>
  </si>
  <si>
    <t>冷</t>
  </si>
  <si>
    <t>lěng</t>
  </si>
  <si>
    <t>cold</t>
  </si>
  <si>
    <t>lạnh</t>
  </si>
  <si>
    <t>Nhiệt độ thấp, mang lại cảm giác rét. ❄️</t>
  </si>
  <si>
    <t>今天外面很_。</t>
  </si>
  <si>
    <t>今天外面很**冷**。</t>
  </si>
  <si>
    <t>jīntiān wàimiàn hěn lěng.</t>
  </si>
  <si>
    <t>Hôm nay bên ngoài rất **lạnh**.</t>
  </si>
  <si>
    <t>It is very cold outside today.</t>
  </si>
  <si>
    <t>rè 热 | dà 大 | xiǎo 小</t>
  </si>
  <si>
    <t>事</t>
  </si>
  <si>
    <t>shì</t>
  </si>
  <si>
    <t>matter, thing</t>
  </si>
  <si>
    <t>việc</t>
  </si>
  <si>
    <t>Sự việc, công việc hoặc vấn đề. 📋</t>
  </si>
  <si>
    <t>这件_很重要。</t>
  </si>
  <si>
    <t>这件**事**很重要。</t>
  </si>
  <si>
    <t>zhè jiàn shì hěn zhòngyào.</t>
  </si>
  <si>
    <t>**Việc** này rất quan trọng.</t>
  </si>
  <si>
    <t>This matter is very important.</t>
  </si>
  <si>
    <t>rén 人 | shū 书 | zì 字</t>
  </si>
  <si>
    <t>知道</t>
  </si>
  <si>
    <t>zhīdào</t>
  </si>
  <si>
    <t>know</t>
  </si>
  <si>
    <t>biết</t>
  </si>
  <si>
    <t>Hiểu rõ hoặc nắm được thông tin. 🧠</t>
  </si>
  <si>
    <t>我__这件事。</t>
  </si>
  <si>
    <t>我**知道**这件事。</t>
  </si>
  <si>
    <t>wǒ zhīdào zhè jiàn shì.</t>
  </si>
  <si>
    <t>Tôi **biết** việc này.</t>
  </si>
  <si>
    <t>I know this matter.</t>
  </si>
  <si>
    <t>rènshi 认识 | juéde 觉得 | xǐhuan 喜欢</t>
  </si>
  <si>
    <t>两</t>
  </si>
  <si>
    <t>liǎng</t>
  </si>
  <si>
    <t>Số lượng là 2, dùng trước lượng từ. ✌️</t>
  </si>
  <si>
    <t>我有_个朋友。</t>
  </si>
  <si>
    <t>我有**两**个朋友。</t>
  </si>
  <si>
    <t>wǒ yǒu liǎng gè péngyou.</t>
  </si>
  <si>
    <t>Tôi có **hai** người bạn.</t>
  </si>
  <si>
    <t>I have two friends.</t>
  </si>
  <si>
    <t>下雨</t>
  </si>
  <si>
    <t>xiàyǔ</t>
  </si>
  <si>
    <t>rain</t>
  </si>
  <si>
    <t>mưa</t>
  </si>
  <si>
    <t>Hiện tượng nước rơi từ đám mây xuống đất. 🌧️</t>
  </si>
  <si>
    <t>今天下午__了。</t>
  </si>
  <si>
    <t>今天下午**下雨**了。</t>
  </si>
  <si>
    <t>jīntiān xiàwǔ xiàyǔ le.</t>
  </si>
  <si>
    <t>Chiều nay trời **mưa**.</t>
  </si>
  <si>
    <t>It rained this afternoon.</t>
  </si>
  <si>
    <t>shàngbān 上班 | xiàbān 下班 | shàngkè 上课</t>
  </si>
  <si>
    <t>上学</t>
  </si>
  <si>
    <t>shàngxué</t>
  </si>
  <si>
    <t>go to school</t>
  </si>
  <si>
    <t>đi học</t>
  </si>
  <si>
    <t>Hành động đến trường để học tập. 🎒</t>
  </si>
  <si>
    <t>孩子每天__。</t>
  </si>
  <si>
    <t>孩子每天**上学**。</t>
  </si>
  <si>
    <t>háizi měitiān shàngxué.</t>
  </si>
  <si>
    <t>Trẻ em **đi học** mỗi ngày.</t>
  </si>
  <si>
    <t>Children go to school every day.</t>
  </si>
  <si>
    <t>shàngbān 上班 | xiàbān 下班 | xiàkè 下课</t>
  </si>
  <si>
    <t>时间</t>
  </si>
  <si>
    <t>shíjiān</t>
  </si>
  <si>
    <t>time</t>
  </si>
  <si>
    <t>thời gian</t>
  </si>
  <si>
    <t>Khái niệm chung về giờ giấc, ngày tháng. ⌚</t>
  </si>
  <si>
    <t>我没有很多__。</t>
  </si>
  <si>
    <t>我没有很多**时间**。</t>
  </si>
  <si>
    <t>wǒ méiyǒu hěn duō shíjiān.</t>
  </si>
  <si>
    <t>Tôi không có nhiều **thời gian**.</t>
  </si>
  <si>
    <t>I don't have much time.</t>
  </si>
  <si>
    <t>shíhou 时候 | míngzi 名字 | Hànyǔ 汉语</t>
  </si>
  <si>
    <t>时候</t>
  </si>
  <si>
    <t>shíhou</t>
  </si>
  <si>
    <t>time, moment</t>
  </si>
  <si>
    <t>lúc</t>
  </si>
  <si>
    <t>Khoảng thời gian hoặc thời điểm xảy ra sự việc. ⏳</t>
  </si>
  <si>
    <t>有时间的__给我打电话。</t>
  </si>
  <si>
    <t>有时间的**时候**给我打电话。</t>
  </si>
  <si>
    <t>yǒu shíjiān de shíhou gěi wǒ dǎ diànhuà.</t>
  </si>
  <si>
    <t>**Khi** (lúc) có thời gian thì gọi cho tôi.</t>
  </si>
  <si>
    <t>Call me when you have time.</t>
  </si>
  <si>
    <t>shíjiān 时间 | míngzi 名字 | Hànyǔ 汉语</t>
  </si>
  <si>
    <t>问题</t>
  </si>
  <si>
    <t>wèntí</t>
  </si>
  <si>
    <t>question, problem</t>
  </si>
  <si>
    <t>câu hỏi</t>
  </si>
  <si>
    <t>Điều cần được giải đáp hoặc giải quyết. 📝</t>
  </si>
  <si>
    <t>这个__不难。</t>
  </si>
  <si>
    <t>这个**问题**不难。</t>
  </si>
  <si>
    <t>zhège wèntí bù nán.</t>
  </si>
  <si>
    <t>**Câu hỏi** này không khó.</t>
  </si>
  <si>
    <t>This question is not difficult.</t>
  </si>
  <si>
    <t>字</t>
  </si>
  <si>
    <t>zì</t>
  </si>
  <si>
    <t>character, word</t>
  </si>
  <si>
    <t>chữ</t>
  </si>
  <si>
    <t>Đơn vị chữ viết. ✍️</t>
  </si>
  <si>
    <t>这个_很难写。</t>
  </si>
  <si>
    <t>这个**字**很难写。</t>
  </si>
  <si>
    <t>zhège zì hěn nán xiě.</t>
  </si>
  <si>
    <t>**Chữ** này rất khó viết.</t>
  </si>
  <si>
    <t>This character is very difficult to write.</t>
  </si>
  <si>
    <t>shū 书 | qián 钱 | shuǐ 水</t>
  </si>
  <si>
    <t>歌</t>
  </si>
  <si>
    <t>gē</t>
  </si>
  <si>
    <t>song</t>
  </si>
  <si>
    <t>bài hát</t>
  </si>
  <si>
    <t>Tác phẩm âm nhạc có lời. 🎵</t>
  </si>
  <si>
    <t>这首_我很喜欢。</t>
  </si>
  <si>
    <t>这首**歌**我很喜欢。</t>
  </si>
  <si>
    <t>zhè shǒu gē wǒ hěn xǐhuan.</t>
  </si>
  <si>
    <t>**Bài hát** này tôi rất thích.</t>
  </si>
  <si>
    <t>I like this song very much.</t>
  </si>
  <si>
    <t>shū 书 | zì 字 | shuǐ 水</t>
  </si>
  <si>
    <t>钱</t>
  </si>
  <si>
    <t>money</t>
  </si>
  <si>
    <t>tiền</t>
  </si>
  <si>
    <t>Phương tiện thanh toán khi mua bán. 💵</t>
  </si>
  <si>
    <t>我没有很多_。</t>
  </si>
  <si>
    <t>我没有很多**钱**。</t>
  </si>
  <si>
    <t>wǒ méiyǒu hěn duō qián.</t>
  </si>
  <si>
    <t>Tôi không có nhiều **tiền**.</t>
  </si>
  <si>
    <t>I don't have much money.</t>
  </si>
  <si>
    <t>茶</t>
  </si>
  <si>
    <t>chá</t>
  </si>
  <si>
    <t>tea</t>
  </si>
  <si>
    <t>trà</t>
  </si>
  <si>
    <t>Thức uống truyền thống của người Trung Quốc. 🍵</t>
  </si>
  <si>
    <t>我爸爸喜欢喝_。</t>
  </si>
  <si>
    <t>我爸爸喜欢喝**茶**。</t>
  </si>
  <si>
    <t>wǒ bàba xǐhuan hē chá.</t>
  </si>
  <si>
    <t>Bố tôi thích uống **trà**.</t>
  </si>
  <si>
    <t>My father likes to drink tea.</t>
  </si>
  <si>
    <t>shuǐ 水 | fàn 饭 | cài 菜</t>
  </si>
  <si>
    <t>苹果</t>
  </si>
  <si>
    <t>píngguǒ</t>
  </si>
  <si>
    <t>apple</t>
  </si>
  <si>
    <t>táo</t>
  </si>
  <si>
    <t>Loại trái cây phổ biến, màu đỏ hoặc xanh. 🍎</t>
  </si>
  <si>
    <t>我喜欢吃__。</t>
  </si>
  <si>
    <t>我喜欢吃**苹果**。</t>
  </si>
  <si>
    <t>wǒ xǐhuan chī píngguǒ.</t>
  </si>
  <si>
    <t>Tôi thích ăn **táo**.</t>
  </si>
  <si>
    <t>I like to eat apples.</t>
  </si>
  <si>
    <t>shuǐguǒ 水果 | mǐfàn 米饭 | bāozi 包子</t>
  </si>
  <si>
    <t>生病</t>
  </si>
  <si>
    <t>shēngbìng</t>
  </si>
  <si>
    <t>fall ill, get sick</t>
  </si>
  <si>
    <t>bị bệnh，bị ốm</t>
  </si>
  <si>
    <t>Cơ thể xuất hiện tình trạng ốm đau. 🤒</t>
  </si>
  <si>
    <t>他昨天__了。</t>
  </si>
  <si>
    <t>他昨天**生病**了。</t>
  </si>
  <si>
    <t>tā zuótiān shēngbìng le.</t>
  </si>
  <si>
    <t>Hôm qua anh ấy **bị bệnh**.</t>
  </si>
  <si>
    <t>He fell ill yesterday.</t>
  </si>
  <si>
    <t>shuìjiào 睡觉 | kànbìng 看病 | zuòfàn 做饭</t>
  </si>
  <si>
    <t>起床</t>
  </si>
  <si>
    <t>qǐchuáng</t>
  </si>
  <si>
    <t>get up</t>
  </si>
  <si>
    <t>thức dậy</t>
  </si>
  <si>
    <t>Hành động rời khỏi giường sau khi ngủ. 🛏️</t>
  </si>
  <si>
    <t>我每天六点__。</t>
  </si>
  <si>
    <t>我每天六点**起床**。</t>
  </si>
  <si>
    <t>wǒ měitiān liù diǎn qǐchuáng.</t>
  </si>
  <si>
    <t>Tôi **dậy** lúc 6 giờ mỗi ngày.</t>
  </si>
  <si>
    <t>I get up at six o'clock every day.</t>
  </si>
  <si>
    <t>shuìjiào 睡觉 | shàngbān 上班 | xiàbān 下班</t>
  </si>
  <si>
    <t>看病</t>
  </si>
  <si>
    <t>kànbìng</t>
  </si>
  <si>
    <t>see a doctor</t>
  </si>
  <si>
    <t>khám bệnh</t>
  </si>
  <si>
    <t>Đến gặp bác sĩ để kiểm tra sức khỏe. 🩺</t>
  </si>
  <si>
    <t>他生病了，去医院__。</t>
  </si>
  <si>
    <t>他生病了，去医院**看病**。</t>
  </si>
  <si>
    <t>tā shēngbìng le, qù yīyuàn kànbìng.</t>
  </si>
  <si>
    <t>Anh ấy bị bệnh nên đi **khám bệnh**.</t>
  </si>
  <si>
    <t>He is sick and goes to the hospital to see a doctor.</t>
  </si>
  <si>
    <t>shuìjiào 睡觉 | zuòfàn 做饭 | kàn shū 看书</t>
  </si>
  <si>
    <t>问</t>
  </si>
  <si>
    <t>wèn</t>
  </si>
  <si>
    <t>ask</t>
  </si>
  <si>
    <t>hỏi</t>
  </si>
  <si>
    <t>Nêu ra câu hỏi để tìm kiếm thông tin. ❓</t>
  </si>
  <si>
    <t>有问题可以_老师。</t>
  </si>
  <si>
    <t>有问题可以**问**老师。</t>
  </si>
  <si>
    <t>yǒu wèntí kěyǐ wèn lǎoshī.</t>
  </si>
  <si>
    <t>Có câu hỏi thì có thể **hỏi** giáo viên.</t>
  </si>
  <si>
    <t>If you have questions, you can ask the teacher.</t>
  </si>
  <si>
    <t>shuō 说 | tīng 听 | kàn 看</t>
  </si>
  <si>
    <t>很</t>
  </si>
  <si>
    <t>hěn</t>
  </si>
  <si>
    <t>very</t>
  </si>
  <si>
    <t>Đứng trước tính từ để tăng mức độ. 📈</t>
  </si>
  <si>
    <t>今天_冷。</t>
  </si>
  <si>
    <t>今天**很**冷。</t>
  </si>
  <si>
    <t>jīntiān hěn lěng.</t>
  </si>
  <si>
    <t>Hôm nay **rất** lạnh.</t>
  </si>
  <si>
    <t>It is very cold today.</t>
  </si>
  <si>
    <t>tài 太 | dōu 都 | yě 也</t>
  </si>
  <si>
    <t>说</t>
  </si>
  <si>
    <t>shuō</t>
  </si>
  <si>
    <t>speak, say</t>
  </si>
  <si>
    <t>nói</t>
  </si>
  <si>
    <t>Phát ra âm thanh thành lời để giao tiếp. 🗣️</t>
  </si>
  <si>
    <t>请慢慢_。</t>
  </si>
  <si>
    <t>请慢慢**说**。</t>
  </si>
  <si>
    <t>qǐng mànman shuō.</t>
  </si>
  <si>
    <t>Làm ơn **nói** chậm lại.</t>
  </si>
  <si>
    <t>Please speak slowly.</t>
  </si>
  <si>
    <t>tīng 听 | dú 读 | xiě 写</t>
  </si>
  <si>
    <t>唱</t>
  </si>
  <si>
    <t>chàng</t>
  </si>
  <si>
    <t>sing</t>
  </si>
  <si>
    <t>hát</t>
  </si>
  <si>
    <t>Phát ra âm thanh thành giai điệu. 🎤</t>
  </si>
  <si>
    <t>她_歌唱得很好。</t>
  </si>
  <si>
    <t>她**唱**歌唱得很好。</t>
  </si>
  <si>
    <t>tā chàng gē chàng de hěn hǎo.</t>
  </si>
  <si>
    <t>Cô ấy **hát** rất hay.</t>
  </si>
  <si>
    <t>She sings very well.</t>
  </si>
  <si>
    <t>tīng 听 | kàn 看 | xiě 写</t>
  </si>
  <si>
    <t>看见</t>
  </si>
  <si>
    <t>kànjiàn</t>
  </si>
  <si>
    <t>see, catch sight of</t>
  </si>
  <si>
    <t>nhìn thấy</t>
  </si>
  <si>
    <t>Kết quả của hành động nhìn. 👁️</t>
  </si>
  <si>
    <t>我在学校__老师了。</t>
  </si>
  <si>
    <t>我在学校**看见**老师了。</t>
  </si>
  <si>
    <t>wǒ zài xuéxiào kànjiàn lǎoshī le.</t>
  </si>
  <si>
    <t>Tôi **nhìn thấy** thầy giáo ở trường.</t>
  </si>
  <si>
    <t>I saw the teacher at school.</t>
  </si>
  <si>
    <t>tīngjiàn 听见 | zhīdào 知道 | rènshi 认识</t>
  </si>
  <si>
    <t>朋友</t>
  </si>
  <si>
    <t>péngyou</t>
  </si>
  <si>
    <t>friend</t>
  </si>
  <si>
    <t>bạn bè</t>
  </si>
  <si>
    <t>Người có quan hệ tốt đẹp, gắn bó với mình. 🤝</t>
  </si>
  <si>
    <t>我和__一起学习汉语。</t>
  </si>
  <si>
    <t>我和**朋友**一起学习汉语。</t>
  </si>
  <si>
    <t>wǒ hé péngyou yìqǐ xuéxí hànyǔ.</t>
  </si>
  <si>
    <t>Tôi học tiếng Trung cùng **bạn**.</t>
  </si>
  <si>
    <t>I study Chinese with my friend.</t>
  </si>
  <si>
    <t>tóngxué 同学 | lǎoshī 老师 | yīshēng 医生</t>
  </si>
  <si>
    <t>里</t>
  </si>
  <si>
    <t>lǐ</t>
  </si>
  <si>
    <t>inside</t>
  </si>
  <si>
    <t>trong</t>
  </si>
  <si>
    <t>Vị trí ở phía bên trong một vật. 📦</t>
  </si>
  <si>
    <t>书在书包_。</t>
  </si>
  <si>
    <t>书在书包**里**。</t>
  </si>
  <si>
    <t>shū zài shūbāo lǐ.</t>
  </si>
  <si>
    <t>Sách ở **trong** cặp.</t>
  </si>
  <si>
    <t>The book is in the schoolbag.</t>
  </si>
  <si>
    <t>wài 外 | shàng 上 | xià 下</t>
  </si>
  <si>
    <t>你</t>
  </si>
  <si>
    <t>nǐ</t>
  </si>
  <si>
    <t>you</t>
  </si>
  <si>
    <t>bạn</t>
  </si>
  <si>
    <t>Đại từ nhân xưng ngôi thứ hai số ít. 👤</t>
  </si>
  <si>
    <t>_是中国人吗？</t>
  </si>
  <si>
    <t>**你**是中国人吗？</t>
  </si>
  <si>
    <t>nǐ shì zhōngguó rén ma?</t>
  </si>
  <si>
    <t>**Bạn** là người Trung Quốc à?</t>
  </si>
  <si>
    <t>Are you Chinese?</t>
  </si>
  <si>
    <t>wǒ 我 | tā 他 | tā 她</t>
  </si>
  <si>
    <t>大家</t>
  </si>
  <si>
    <t>dàjiā</t>
  </si>
  <si>
    <t>everyone</t>
  </si>
  <si>
    <t>mọi người</t>
  </si>
  <si>
    <t>Tất cả những người có mặt hoặc được nhắc đến. 👨‍👩‍👧‍👦</t>
  </si>
  <si>
    <t>__都很喜欢这位老师。</t>
  </si>
  <si>
    <t>**大家**都很喜欢这位老师。</t>
  </si>
  <si>
    <t>dàjiā dōu hěn xǐhuan zhè wèi lǎoshī.</t>
  </si>
  <si>
    <t>**Mọi người** đều thích thầy giáo này.</t>
  </si>
  <si>
    <t>Everyone likes this teacher very much.</t>
  </si>
  <si>
    <t>wǒmen 我们 | nǐmen 你们 | tāmen 他们</t>
  </si>
  <si>
    <t>你们</t>
  </si>
  <si>
    <t>nǐmen</t>
  </si>
  <si>
    <t>you (plural)</t>
  </si>
  <si>
    <t>các bạn</t>
  </si>
  <si>
    <t>Đại từ nhân xưng ngôi thứ hai số nhiều. 👥</t>
  </si>
  <si>
    <t>__都是学生吗？</t>
  </si>
  <si>
    <t>**你们**都是学生吗？</t>
  </si>
  <si>
    <t>nǐmen dōu shì xuésheng ma?</t>
  </si>
  <si>
    <t>**Các bạn** đều là học sinh à?</t>
  </si>
  <si>
    <t>Are you all students?</t>
  </si>
  <si>
    <t>wǒmen 我们 | tāmen 他们 | tāmen 她们</t>
  </si>
  <si>
    <t>要</t>
  </si>
  <si>
    <t>yào</t>
  </si>
  <si>
    <t>want, need</t>
  </si>
  <si>
    <t>muốn | cần</t>
  </si>
  <si>
    <t>Thể hiện mong muốn hoặc yêu cầu bắt buộc. 🎯</t>
  </si>
  <si>
    <t>我想_一杯咖啡。</t>
  </si>
  <si>
    <t>我想**要**一杯咖啡。</t>
  </si>
  <si>
    <t>wǒ xiǎng yào yì bēi kāfēi.</t>
  </si>
  <si>
    <t>Tôi **muốn** một cốc cà phê.</t>
  </si>
  <si>
    <t>I want a cup of coffee.</t>
  </si>
  <si>
    <t>xiǎng 想 | huì 会 | néng 能</t>
  </si>
  <si>
    <t>大</t>
  </si>
  <si>
    <t>dà</t>
  </si>
  <si>
    <t>big</t>
  </si>
  <si>
    <t>to</t>
  </si>
  <si>
    <t>Kích thước lớn, rộng rãi. 🐘</t>
  </si>
  <si>
    <t>这所学校很_。</t>
  </si>
  <si>
    <t>这所学校很**大**。</t>
  </si>
  <si>
    <t>zhè suǒ xuéxiào hěn dà.</t>
  </si>
  <si>
    <t>Ngôi trường này rất **lớn** (to).</t>
  </si>
  <si>
    <t>This school is very big.</t>
  </si>
  <si>
    <t>xiǎo 小 | duō 多 | shǎo 少</t>
  </si>
  <si>
    <t>雨</t>
  </si>
  <si>
    <t>yǔ</t>
  </si>
  <si>
    <t>Nước từ trên trời rơi xuống. 🌧️</t>
  </si>
  <si>
    <t>外面下_了。</t>
  </si>
  <si>
    <t>外面下**雨**了。</t>
  </si>
  <si>
    <t>wàimiàn xià yǔ le.</t>
  </si>
  <si>
    <t>Bên ngoài trời **mưa** rồi.</t>
  </si>
  <si>
    <t>It is raining outside.</t>
  </si>
  <si>
    <t>xuě 雪 | shuǐ 水 | chá 茶</t>
  </si>
  <si>
    <t>老师</t>
  </si>
  <si>
    <t>lǎoshī</t>
  </si>
  <si>
    <t>teacher</t>
  </si>
  <si>
    <t>giáo viên</t>
  </si>
  <si>
    <t>Người truyền đạt kiến thức tại trường học. 👩‍🏫</t>
  </si>
  <si>
    <t>我的汉语__很好。</t>
  </si>
  <si>
    <t>我的汉语**老师**很好。</t>
  </si>
  <si>
    <t>wǒ de hànyǔ lǎoshī hěn hǎo.</t>
  </si>
  <si>
    <t>**Giáo viên** tiếng Trung của tôi rất tốt.</t>
  </si>
  <si>
    <t>My Chinese teacher is very good.</t>
  </si>
  <si>
    <t>xuésheng 学生 | yīshēng 医生 | péngyou 朋友</t>
  </si>
  <si>
    <t>工作</t>
  </si>
  <si>
    <t>gōngzuò</t>
  </si>
  <si>
    <t>work, job</t>
  </si>
  <si>
    <t>công việc</t>
  </si>
  <si>
    <t>Hoạt động lao động để tạo ra thu nhập. 💼</t>
  </si>
  <si>
    <t>我每天__八个小时。</t>
  </si>
  <si>
    <t>我每天**工作**八个小时。</t>
  </si>
  <si>
    <t>wǒ měitiān gōngzuò bā gè xiǎoshí.</t>
  </si>
  <si>
    <t>Tôi **làm việc** 8 tiếng mỗi ngày.</t>
  </si>
  <si>
    <t>I work eight hours every day.</t>
  </si>
  <si>
    <t>xuéxí 学习 | shuìjiào 睡觉 | xiūxi 休息</t>
  </si>
  <si>
    <t>都</t>
  </si>
  <si>
    <t>dū</t>
  </si>
  <si>
    <t>all, both</t>
  </si>
  <si>
    <t>đều</t>
  </si>
  <si>
    <t>Nhấn mạnh sự bao quát toàn bộ sự vật, sự việc. 🤝</t>
  </si>
  <si>
    <t>我们_喜欢学习汉语。</t>
  </si>
  <si>
    <t>我们**都**喜欢学习汉语。</t>
  </si>
  <si>
    <t>wǒmen dōu xǐhuan xuéxí hànyǔ.</t>
  </si>
  <si>
    <t>Chúng tôi **đều** thích học tiếng Trung.</t>
  </si>
  <si>
    <t>We all like studying Chinese.</t>
  </si>
  <si>
    <t>yě 也 | hěn 很 | tài 太</t>
  </si>
  <si>
    <t>一半</t>
  </si>
  <si>
    <t>yībàn</t>
  </si>
  <si>
    <t>half</t>
  </si>
  <si>
    <t>Phân nửa của một tổng thể. 🌗</t>
  </si>
  <si>
    <t>我只吃了__。</t>
  </si>
  <si>
    <t>我只吃了**一半**。</t>
  </si>
  <si>
    <t>yì diǎn 一点 | yìxiē 一些 | yí gè 一个</t>
  </si>
  <si>
    <t>一下</t>
  </si>
  <si>
    <t>yīxià</t>
  </si>
  <si>
    <t>a bit, a short while</t>
  </si>
  <si>
    <t>Hành động diễn ra nhanh hoặc thử làm gì đó. ⏱️</t>
  </si>
  <si>
    <t>请等我__。</t>
  </si>
  <si>
    <t>请等我**一下**。</t>
  </si>
  <si>
    <t>qǐng děng wǒ yíxià.</t>
  </si>
  <si>
    <t>Làm ơn đợi tôi **một chút**.</t>
  </si>
  <si>
    <t>Please wait for me a moment.</t>
  </si>
  <si>
    <t>正在</t>
  </si>
  <si>
    <t>zhèngzài</t>
  </si>
  <si>
    <t>in the process of</t>
  </si>
  <si>
    <t>đang</t>
  </si>
  <si>
    <t>Biểu thị hành động đang diễn ra. ⏳</t>
  </si>
  <si>
    <t>我__学习汉语。</t>
  </si>
  <si>
    <t>我**正在**学习汉语。</t>
  </si>
  <si>
    <t>wǒ zhèngzài xuéxí hànyǔ.</t>
  </si>
  <si>
    <t>Tôi **đang** học tiếng Trung.</t>
  </si>
  <si>
    <t>I am studying Chinese.</t>
  </si>
  <si>
    <t>yì qǐ 一起 | fēicháng 非常 | dōu bù 都不</t>
  </si>
  <si>
    <t>汉语</t>
  </si>
  <si>
    <t>hànyǔ</t>
  </si>
  <si>
    <t>Ngôn ngữ phổ biến nhất tại Trung Quốc. 🇨🇳</t>
  </si>
  <si>
    <t>学好__不容易。</t>
  </si>
  <si>
    <t>学好**汉语**不容易。</t>
  </si>
  <si>
    <t>xué hǎo hànyǔ bù róngyì.</t>
  </si>
  <si>
    <t>Học tốt **tiếng Trung** không dễ.</t>
  </si>
  <si>
    <t>Learning Chinese well is not easy.</t>
  </si>
  <si>
    <t>yīng yǔ 英语 | Hànzì 汉字 | míngzi 名字</t>
  </si>
  <si>
    <t>学校</t>
  </si>
  <si>
    <t>xuéxiào</t>
  </si>
  <si>
    <t>school</t>
  </si>
  <si>
    <t>trường học</t>
  </si>
  <si>
    <t>Cơ sở giáo dục, nơi tổ chức dạy và học. 🏫</t>
  </si>
  <si>
    <t>我在这所__学习汉语。</t>
  </si>
  <si>
    <t>我在这所**学校**学习汉语。</t>
  </si>
  <si>
    <t>wǒ zài zhè suǒ xuéxiào xuéxí hànyǔ.</t>
  </si>
  <si>
    <t>Tôi học tiếng Trung ở ngôi **trường** này.</t>
  </si>
  <si>
    <t>I study Chinese in this school.</t>
  </si>
  <si>
    <t>yīyuàn 医院 | fàndiàn 饭店 | shāngdiàn 商店</t>
  </si>
  <si>
    <t>公司</t>
  </si>
  <si>
    <t>gōngsī</t>
  </si>
  <si>
    <t>company</t>
  </si>
  <si>
    <t>công ty</t>
  </si>
  <si>
    <t>Tổ chức kinh doanh, nơi làm việc. 🏢</t>
  </si>
  <si>
    <t>她在一家外国__工作。</t>
  </si>
  <si>
    <t>她在一家外国**公司**工作。</t>
  </si>
  <si>
    <t>tā zài yì jiā wàiguó gōngsī gōngzuò.</t>
  </si>
  <si>
    <t>Cô ấy làm ở một **công ty** nước ngoài.</t>
  </si>
  <si>
    <t>She works in a foreign company.</t>
  </si>
  <si>
    <t>桌子</t>
  </si>
  <si>
    <t>zhuōzi</t>
  </si>
  <si>
    <t>table, desk</t>
  </si>
  <si>
    <t>cái bàn</t>
  </si>
  <si>
    <t>Đồ nội thất mặt phẳng dùng để làm việc, ăn uống. 🪑</t>
  </si>
  <si>
    <t>__上有书。</t>
  </si>
  <si>
    <t>**桌子**上有书。</t>
  </si>
  <si>
    <t>zhuōzi shang yǒu shū.</t>
  </si>
  <si>
    <t>Trên **bàn** có sách.</t>
  </si>
  <si>
    <t>There are books on the table.</t>
  </si>
  <si>
    <t>yǐzi 椅子 | bēizi 杯子 | diànnǎo 电脑</t>
  </si>
  <si>
    <t>杯子</t>
  </si>
  <si>
    <t>bēizi</t>
  </si>
  <si>
    <t>cup</t>
  </si>
  <si>
    <t>cái cốc</t>
  </si>
  <si>
    <t>Đồ vật dùng để đựng nước uống. 🥛</t>
  </si>
  <si>
    <t>桌子上有一个__。</t>
  </si>
  <si>
    <t>桌子上有一个**杯子**。</t>
  </si>
  <si>
    <t>zhuōzi shang yǒu yí gè bēizi.</t>
  </si>
  <si>
    <t>Trên bàn có một **cái cốc**.</t>
  </si>
  <si>
    <t>There is a cup on the table.</t>
  </si>
  <si>
    <t>yǐzi 椅子 | diànnǎo 电脑 | diànshì 电视</t>
  </si>
  <si>
    <t>没事</t>
  </si>
  <si>
    <t>méishì</t>
  </si>
  <si>
    <t>it's nothing</t>
  </si>
  <si>
    <t>không có việc gì</t>
  </si>
  <si>
    <t>Biểu thị sự bình an, không có vấn đề gì. ✌️</t>
  </si>
  <si>
    <t>__，我可以帮你。</t>
  </si>
  <si>
    <t>**没事**，我可以帮你。</t>
  </si>
  <si>
    <t>méishì, wǒ kěyǐ bāng nǐ.</t>
  </si>
  <si>
    <t>**Không sao**, tôi có thể giúp bạn.</t>
  </si>
  <si>
    <t>It's nothing, I can help you.</t>
  </si>
  <si>
    <t>yǒu shì 有事 | méi qián 没钱 | méi rén 没人</t>
  </si>
  <si>
    <t>是</t>
  </si>
  <si>
    <t>be, is</t>
  </si>
  <si>
    <t>là</t>
  </si>
  <si>
    <t>Động từ liên kết, biểu thị sự khẳng định. ✅</t>
  </si>
  <si>
    <t>他_我的老师。</t>
  </si>
  <si>
    <t>他**是**我的老师。</t>
  </si>
  <si>
    <t>tā shì wǒ de lǎoshī.</t>
  </si>
  <si>
    <t>Anh ấy **là** thầy giáo của tôi.</t>
  </si>
  <si>
    <t>He is my teacher.</t>
  </si>
  <si>
    <t>yǒu 有 | jiào 叫 | kàn 看</t>
  </si>
  <si>
    <t>雪</t>
  </si>
  <si>
    <t>xuě</t>
  </si>
  <si>
    <t>snow</t>
  </si>
  <si>
    <t>tuyết</t>
  </si>
  <si>
    <t>Hiện tượng thời tiết lạnh, hạt băng rơi xuống. ❄️</t>
  </si>
  <si>
    <t>冬天这里常常下_。</t>
  </si>
  <si>
    <t>冬天这里常常下**雪**。</t>
  </si>
  <si>
    <t>dōngtiān zhèlǐ chángcháng xià xuě.</t>
  </si>
  <si>
    <t>Mùa đông ở đây thường có **tuyết**.</t>
  </si>
  <si>
    <t>It often snows here in winter.</t>
  </si>
  <si>
    <t>yǔ 雨 | shuǐ 水 | chá 茶</t>
  </si>
  <si>
    <t>谢谢</t>
  </si>
  <si>
    <t>xièxie</t>
  </si>
  <si>
    <t>thank you</t>
  </si>
  <si>
    <t>cảm ơn</t>
  </si>
  <si>
    <t>Lời bày tỏ sự biết ơn. 🙏</t>
  </si>
  <si>
    <t>__你帮我。</t>
  </si>
  <si>
    <t>**谢谢**你帮我。</t>
  </si>
  <si>
    <t>xièxie nǐ bāng wǒ.</t>
  </si>
  <si>
    <t>**Cảm ơn** bạn đã giúp tôi.</t>
  </si>
  <si>
    <t>Thank you for helping me.</t>
  </si>
  <si>
    <t>zàijiàn 再见 | nǐhǎo 你好 | qǐngwèn 请问</t>
  </si>
  <si>
    <t>你好</t>
  </si>
  <si>
    <t>nǐhǎo</t>
  </si>
  <si>
    <t>hello</t>
  </si>
  <si>
    <t>xin chào</t>
  </si>
  <si>
    <t>Lời chào hỏi phổ biến nhất trong tiếng Trung. 👋</t>
  </si>
  <si>
    <t>__，很高兴认识你。</t>
  </si>
  <si>
    <t>**你好**，很高兴认识你。</t>
  </si>
  <si>
    <t>nǐhǎo, hěn gāoxìng rènshi nǐ.</t>
  </si>
  <si>
    <t>**Xin chào**, rất vui được gặp bạn.</t>
  </si>
  <si>
    <t>Hello, nice to meet you.</t>
  </si>
  <si>
    <t>zàijiàn 再见 | xièxie 谢谢 | míngtiān 明天</t>
  </si>
  <si>
    <t>什么</t>
  </si>
  <si>
    <t>shénme</t>
  </si>
  <si>
    <t>what</t>
  </si>
  <si>
    <t>cái gì</t>
  </si>
  <si>
    <t>Đại từ nghi vấn dùng để hỏi về sự vật, sự việc. ❓</t>
  </si>
  <si>
    <t>你在做__？</t>
  </si>
  <si>
    <t>你在做**什么**？</t>
  </si>
  <si>
    <t>nǐ zài zuò shénme?</t>
  </si>
  <si>
    <t>Bạn đang làm **gì**?</t>
  </si>
  <si>
    <t>What are you doing?</t>
  </si>
  <si>
    <t>zěnme 怎么 | nǎlǐ 哪里 | duōshao 多少</t>
  </si>
  <si>
    <t>那</t>
  </si>
  <si>
    <t>nà</t>
  </si>
  <si>
    <t>that</t>
  </si>
  <si>
    <t>kia</t>
  </si>
  <si>
    <t>Đại từ chỉ định sự vật ở xa người nói. 👉</t>
  </si>
  <si>
    <t>_是我的老师。</t>
  </si>
  <si>
    <t>**那**是我的老师。</t>
  </si>
  <si>
    <t>nà shì wǒ de lǎoshī.</t>
  </si>
  <si>
    <t>**Kia** là thầy giáo của tôi.</t>
  </si>
  <si>
    <t>That is my teacher.</t>
  </si>
  <si>
    <t>zhè 这 | nǎ 哪 | shéi 谁</t>
  </si>
  <si>
    <t>哪</t>
  </si>
  <si>
    <t>nǎ</t>
  </si>
  <si>
    <t>which</t>
  </si>
  <si>
    <t>nào</t>
  </si>
  <si>
    <t>Đại từ nghi vấn dùng để hỏi sự lựa chọn. ❓</t>
  </si>
  <si>
    <t>你去_儿？</t>
  </si>
  <si>
    <t>你去**哪**儿？</t>
  </si>
  <si>
    <t>Bạn đi đâu (**nào**)?</t>
  </si>
  <si>
    <t>zhè 这 | nà 那 | shéi 谁</t>
  </si>
  <si>
    <t>那边</t>
  </si>
  <si>
    <t>nàbian</t>
  </si>
  <si>
    <t>over there</t>
  </si>
  <si>
    <t>bên kia</t>
  </si>
  <si>
    <t>Vị trí ở phía xa người nói. 🧭</t>
  </si>
  <si>
    <t>__是超市。</t>
  </si>
  <si>
    <t>**那边**是超市。</t>
  </si>
  <si>
    <t>nàbiān shì chāoshì.</t>
  </si>
  <si>
    <t>**Bên kia** là siêu thị.</t>
  </si>
  <si>
    <t>Over there is the supermarket.</t>
  </si>
  <si>
    <t>zhèbiān 这边 | qián miàn 前面 | hòu miàn 后面</t>
  </si>
  <si>
    <t>那个</t>
  </si>
  <si>
    <t>nàgè</t>
  </si>
  <si>
    <t>that one</t>
  </si>
  <si>
    <t>cái kia</t>
  </si>
  <si>
    <t>Chỉ một vật cụ thể ở xa. 👆</t>
  </si>
  <si>
    <t>我要**那个**。</t>
  </si>
  <si>
    <t>wǒ yào nàge.</t>
  </si>
  <si>
    <t>Tôi muốn **cái kia**.</t>
  </si>
  <si>
    <t>I want that one.</t>
  </si>
  <si>
    <t>zhège 这个 | nǎge 哪个 | nàxiē 那些</t>
  </si>
  <si>
    <t>哪个</t>
  </si>
  <si>
    <t>nǎge</t>
  </si>
  <si>
    <t>which one</t>
  </si>
  <si>
    <t>cái nào</t>
  </si>
  <si>
    <t>Hỏi về một vật cụ thể trong nhiều sự lựa chọn. 🤷</t>
  </si>
  <si>
    <t>你要__？</t>
  </si>
  <si>
    <t>你要**哪个**？</t>
  </si>
  <si>
    <t>nǐ yào nǎge?</t>
  </si>
  <si>
    <t>Bạn muốn **cái nào**?</t>
  </si>
  <si>
    <t>Which one do you want?</t>
  </si>
  <si>
    <t>zhège 这个 | nàge 那个 | nǎxiē 哪些</t>
  </si>
  <si>
    <t>那些</t>
  </si>
  <si>
    <t>nàxiē</t>
  </si>
  <si>
    <t>those</t>
  </si>
  <si>
    <t>những cái kia</t>
  </si>
  <si>
    <t>Chỉ số nhiều sự vật ở xa. 📚</t>
  </si>
  <si>
    <t>__书是新的。</t>
  </si>
  <si>
    <t>**那些**书是新的。</t>
  </si>
  <si>
    <t>nàxiē shū shì xīn de.</t>
  </si>
  <si>
    <t>**Những quyển** sách **kia** là mới.</t>
  </si>
  <si>
    <t>Those books are new.</t>
  </si>
  <si>
    <t>zhèxiē 这些 | nǎxiē 哪些 | nàge 那个</t>
  </si>
  <si>
    <t>哪些</t>
  </si>
  <si>
    <t>nǎxiē</t>
  </si>
  <si>
    <t>which ones</t>
  </si>
  <si>
    <t>những cái nào</t>
  </si>
  <si>
    <t>Hỏi về số nhiều sự vật. ❓</t>
  </si>
  <si>
    <t>你喜欢__？</t>
  </si>
  <si>
    <t>你喜欢**哪些**？</t>
  </si>
  <si>
    <t>nǐ xǐhuan nǎxiē?</t>
  </si>
  <si>
    <t>Bạn thích **những cái nào**?</t>
  </si>
  <si>
    <t>Which ones do you like?</t>
  </si>
  <si>
    <t>zhèxiē 这些 | nàxiē 那些 | nǎge 哪个</t>
  </si>
  <si>
    <t>觉得</t>
  </si>
  <si>
    <t>juéde</t>
  </si>
  <si>
    <t>feel, think</t>
  </si>
  <si>
    <t>cảm thấy</t>
  </si>
  <si>
    <t>Đưa ra ý kiến hoặc cảm nhận cá nhân. 🤔</t>
  </si>
  <si>
    <t>我__这本书很有意思。</t>
  </si>
  <si>
    <t>我**觉得**这本书很有意思。</t>
  </si>
  <si>
    <t>wǒ juéde zhè běn shū hěn yǒu yìsi.</t>
  </si>
  <si>
    <t>Tôi **thấy** quyển sách này rất thú vị.</t>
  </si>
  <si>
    <t>I think this book is very interesting.</t>
  </si>
  <si>
    <t>zhīdào 知道 | rènshi 认识 | xǐhuan 喜欢</t>
  </si>
  <si>
    <t>椅子</t>
  </si>
  <si>
    <t>yǐzi</t>
  </si>
  <si>
    <t>chair</t>
  </si>
  <si>
    <t>cái ghế</t>
  </si>
  <si>
    <t>Đồ vật có tựa lưng dùng để ngồi. 🪑</t>
  </si>
  <si>
    <t>房间里有三把__。</t>
  </si>
  <si>
    <t>房间里有三把**椅子**。</t>
  </si>
  <si>
    <t>fángjiān lǐ yǒu sān bǎ yǐzi.</t>
  </si>
  <si>
    <t>Trong phòng có ba **cái ghế**.</t>
  </si>
  <si>
    <t>There are three chairs in the room.</t>
  </si>
  <si>
    <t>zhuōzi 桌子 | bēizi 杯子 | diànnǎo 电脑</t>
  </si>
  <si>
    <t>书</t>
  </si>
  <si>
    <t>shū</t>
  </si>
  <si>
    <t>book</t>
  </si>
  <si>
    <t>sách</t>
  </si>
  <si>
    <t>Tập hợp các trang giấy có chữ để đọc. 📖</t>
  </si>
  <si>
    <t>我喜欢看_。</t>
  </si>
  <si>
    <t>我喜欢看**书**。</t>
  </si>
  <si>
    <t>wǒ xǐhuan kàn shū.</t>
  </si>
  <si>
    <t>Tôi thích đọc **sách**.</t>
  </si>
  <si>
    <t>I like reading books.</t>
  </si>
  <si>
    <t>zì 字 | qián 钱 | shuǐ 水</t>
  </si>
  <si>
    <t>开车</t>
  </si>
  <si>
    <t>kāichē</t>
  </si>
  <si>
    <t>drive a car</t>
  </si>
  <si>
    <t>lái xe</t>
  </si>
  <si>
    <t>Điều khiển phương tiện giao thông. 🚘</t>
  </si>
  <si>
    <t>他每天__上班。</t>
  </si>
  <si>
    <t>他每天**开车**上班。</t>
  </si>
  <si>
    <t>tā měitiān kāichē shàngbān.</t>
  </si>
  <si>
    <t>Anh ấy **lái xe** đi làm mỗi ngày.</t>
  </si>
  <si>
    <t>He drives to work every day.</t>
  </si>
  <si>
    <t>zuò chē 坐车 | kàn shū 看书 | shuìjiào 睡觉</t>
  </si>
  <si>
    <t>事情</t>
  </si>
  <si>
    <t>Dùng để chỉ sự việc, vấn đề nói chung. 📝 Thường dùng nhiều trong văn viết, còn văn nói hay rút gọn thành 事.</t>
  </si>
  <si>
    <t>你有什么__？</t>
  </si>
  <si>
    <r>
      <rPr>
        <rFont val="Lora"/>
        <color rgb="FF050505"/>
      </rPr>
      <t>你有什么**事情</t>
    </r>
    <r>
      <rPr>
        <rFont val="Lora"/>
        <b/>
        <color rgb="FF050505"/>
      </rPr>
      <t>**</t>
    </r>
    <r>
      <rPr>
        <rFont val="Lora"/>
        <color rgb="FF050505"/>
      </rPr>
      <t>？</t>
    </r>
  </si>
  <si>
    <t>nǐ yǒu shénme shìqing?</t>
  </si>
  <si>
    <t>Bạn có **vấn đề** (sự việc) gì vậy?</t>
  </si>
  <si>
    <t>What is the matter?</t>
  </si>
  <si>
    <t>dōngxi 东西 | míngzi 名字 | shíjiān 时间</t>
  </si>
  <si>
    <t>方法</t>
  </si>
  <si>
    <t>Cách thức để giải quyết hoặc thực hiện một việc gì đó. 💡</t>
  </si>
  <si>
    <t>这个__很好。</t>
  </si>
  <si>
    <t>这个**方法**很好。</t>
  </si>
  <si>
    <t>zhège fāngfǎ hěn hǎo.</t>
  </si>
  <si>
    <t>**Phương pháp** này rất tốt.</t>
  </si>
  <si>
    <t>This method is very good.</t>
  </si>
  <si>
    <t>电影票</t>
  </si>
  <si>
    <t>Giấy chứng nhận để được vào rạp xem phim. 🎟️</t>
  </si>
  <si>
    <t>我买了两张___。</t>
  </si>
  <si>
    <t>我买了两张**电影票**。</t>
  </si>
  <si>
    <t>wǒ mǎi le liǎng zhāng diànyǐngpiào.</t>
  </si>
  <si>
    <t>Tôi đã mua hai tấm **vé xem phim**.</t>
  </si>
  <si>
    <t>I bought two movie tickets.</t>
  </si>
  <si>
    <t>chūzūchē 出租车 | fēijīchǎng 飞机场 | huǒchēzhàn 火车站</t>
  </si>
  <si>
    <t>车票</t>
  </si>
  <si>
    <t xml:space="preserve">vé xe </t>
  </si>
  <si>
    <t>Vé dùng để đi các phương tiện giao thông như xe buýt, tàu hỏa. 🎫</t>
  </si>
  <si>
    <t>你的__在哪儿？</t>
  </si>
  <si>
    <t>你的**车票**在哪儿？</t>
  </si>
  <si>
    <t>nǐ de chēpiào zài nǎr?</t>
  </si>
  <si>
    <t>**Vé xe** của bạn ở đâu?</t>
  </si>
  <si>
    <t>Where is your ticket?</t>
  </si>
  <si>
    <t>shǒujī 手机 | diànnǎo 电脑 | bēizi 杯子</t>
  </si>
  <si>
    <t>亮</t>
  </si>
  <si>
    <t>Có nhiều ánh sáng, dễ nhìn thấy. ☀️</t>
  </si>
  <si>
    <t>房间里很_。</t>
  </si>
  <si>
    <t>房间里很**亮**。</t>
  </si>
  <si>
    <t>fángjiān lǐ hěn liàng.</t>
  </si>
  <si>
    <t>Trong phòng rất **sáng**.</t>
  </si>
  <si>
    <t>The room is very bright.</t>
  </si>
  <si>
    <t>dà 大 | xiǎo 小 | lěng 冷</t>
  </si>
  <si>
    <t>能力</t>
  </si>
  <si>
    <t>năng lực, khả năng</t>
  </si>
  <si>
    <t>Khả năng làm được một việc gì đó. 💪</t>
  </si>
  <si>
    <t>他的__很好。</t>
  </si>
  <si>
    <t>他的**能力**很好。</t>
  </si>
  <si>
    <t>tā de nénglì hěn hǎo.</t>
  </si>
  <si>
    <t>**Năng lực** của anh ấy rất tốt.</t>
  </si>
  <si>
    <t>His ability is very good.</t>
  </si>
  <si>
    <t>míngzi 名字 | shíjiān 时间 | tóngxué 同学</t>
  </si>
  <si>
    <t>病人</t>
  </si>
  <si>
    <t>Người đang bị ốm và cần được bác sĩ chữa trị. 🤒</t>
  </si>
  <si>
    <t>医院里有很多__。</t>
  </si>
  <si>
    <t>医院里有很多**病人**。</t>
  </si>
  <si>
    <t>yīyuàn lǐ yǒu hěn duō bìngrén.</t>
  </si>
  <si>
    <t>Trong bệnh viện có rất nhiều **bệnh nhân**.</t>
  </si>
  <si>
    <t>There are many patients in the hospital.</t>
  </si>
  <si>
    <t>不能</t>
  </si>
  <si>
    <t>Không có khả năng hoặc không được phép làm gì. 🚫</t>
  </si>
  <si>
    <t>我今天__去学校。</t>
  </si>
  <si>
    <t>我今天**不能**去学校。</t>
  </si>
  <si>
    <t>wǒ jīntiān bùnéng qù xuéxiào.</t>
  </si>
  <si>
    <t>Hôm nay tôi **không thể** đi học.</t>
  </si>
  <si>
    <t>I cannot go to school today.</t>
  </si>
  <si>
    <t>xǐhuan 喜欢 | rènshi 认识 | zhīdào 知道</t>
  </si>
  <si>
    <t>胡</t>
  </si>
  <si>
    <t>surname Hu'</t>
  </si>
  <si>
    <t>Họ Hồ</t>
  </si>
  <si>
    <t>Một họ phổ biến của người Trung Quốc. 👤</t>
  </si>
  <si>
    <t>他是_先生。</t>
  </si>
  <si>
    <t>他是**胡**先生。</t>
  </si>
  <si>
    <t>tā shì hú xiānsheng.</t>
  </si>
  <si>
    <t>Anh ấy là ông **Hồ**.</t>
  </si>
  <si>
    <t>He is Mr. Hu.</t>
  </si>
  <si>
    <t>Wáng 王 | Lǐ 李 | Zhāng 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</si>
</sst>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697E83"/>
      <name val="Spectral"/>
    </font>
    <font>
      <color theme="1"/>
      <name val="Arial"/>
    </font>
    <font>
      <b/>
      <sz val="18.0"/>
      <color rgb="FF697E83"/>
      <name val="Spectral"/>
    </font>
    <font>
      <b/>
      <sz val="18.0"/>
      <color theme="1"/>
      <name val="Spectral"/>
    </font>
    <font>
      <sz val="18.0"/>
      <color theme="1"/>
      <name val="Spectral"/>
    </font>
    <font>
      <sz val="12.0"/>
      <color theme="1"/>
      <name val="Lora"/>
    </font>
    <font>
      <sz val="12.0"/>
      <color rgb="FF050505"/>
      <name val="Lora"/>
    </font>
    <font>
      <sz val="12.0"/>
      <color theme="1"/>
      <name val="Arial"/>
    </font>
    <font>
      <sz val="18.0"/>
      <color rgb="FF697E83"/>
      <name val="Spectral"/>
    </font>
    <font>
      <color theme="1"/>
      <name val="Lora"/>
    </font>
    <font>
      <color rgb="FF050505"/>
      <name val="Lora"/>
    </font>
    <font>
      <sz val="11.0"/>
      <color rgb="FF050505"/>
      <name val="Lora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4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B7B7B7"/>
      </top>
      <bottom style="dotted">
        <color rgb="FFB7B7B7"/>
      </bottom>
    </border>
    <border>
      <top style="dotted">
        <color rgb="FFB7B7B7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vertical="center"/>
    </xf>
    <xf borderId="0" fillId="4" fontId="2" numFmtId="0" xfId="0" applyAlignment="1" applyFill="1" applyFont="1">
      <alignment horizontal="left" vertical="center"/>
    </xf>
    <xf borderId="0" fillId="4" fontId="2" numFmtId="0" xfId="0" applyAlignment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vertical="center"/>
    </xf>
    <xf borderId="1" fillId="4" fontId="6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1" fillId="2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vertical="center"/>
    </xf>
    <xf borderId="0" fillId="4" fontId="11" numFmtId="0" xfId="0" applyAlignment="1" applyFont="1">
      <alignment horizontal="left" vertical="center"/>
    </xf>
    <xf borderId="0" fillId="4" fontId="11" numFmtId="0" xfId="0" applyAlignment="1" applyFont="1">
      <alignment horizontal="center" vertical="center"/>
    </xf>
    <xf borderId="0" fillId="4" fontId="11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2" fontId="11" numFmtId="0" xfId="0" applyAlignment="1" applyFont="1">
      <alignment horizontal="left" vertical="center"/>
    </xf>
    <xf borderId="0" fillId="2" fontId="11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1" fillId="2" fontId="9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vertical="center"/>
    </xf>
    <xf borderId="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readingOrder="0" vertical="center"/>
    </xf>
    <xf borderId="0" fillId="4" fontId="11" numFmtId="0" xfId="0" applyAlignment="1" applyFont="1">
      <alignment horizontal="left" readingOrder="0" vertical="center"/>
    </xf>
    <xf borderId="0" fillId="2" fontId="2" numFmtId="0" xfId="0" applyAlignment="1" applyFont="1">
      <alignment vertical="center"/>
    </xf>
    <xf borderId="3" fillId="2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readingOrder="0" vertical="center"/>
    </xf>
    <xf borderId="0" fillId="2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63"/>
    <col customWidth="1" min="2" max="2" width="14.38"/>
    <col customWidth="1" min="3" max="3" width="28.38"/>
    <col customWidth="1" min="4" max="4" width="21.25"/>
    <col customWidth="1" min="5" max="5" width="9.0"/>
    <col customWidth="1" min="6" max="6" width="66.25"/>
    <col customWidth="1" min="7" max="7" width="22.25"/>
    <col customWidth="1" min="8" max="8" width="26.13"/>
    <col customWidth="1" min="9" max="9" width="34.88"/>
    <col customWidth="1" min="10" max="10" width="43.75"/>
    <col customWidth="1" min="11" max="11" width="45.75"/>
    <col customWidth="1" min="12" max="12" width="50.75"/>
    <col customWidth="1" min="13" max="13" width="11.0"/>
    <col customWidth="1" min="14" max="14" width="11.13"/>
    <col customWidth="1" min="15" max="15" width="13.5"/>
    <col customWidth="1" min="16" max="16" width="12.0"/>
    <col customWidth="1" min="17" max="17" width="15.88"/>
    <col customWidth="1" min="18" max="18" width="27.25"/>
    <col customWidth="1" min="19" max="19" width="25.75"/>
    <col customWidth="1" hidden="1" min="20" max="20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40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8" t="s">
        <v>19</v>
      </c>
      <c r="T2" s="9"/>
    </row>
    <row r="3">
      <c r="A3" s="10" t="s">
        <v>20</v>
      </c>
      <c r="B3" s="10" t="s">
        <v>20</v>
      </c>
      <c r="C3" s="10" t="s">
        <v>20</v>
      </c>
      <c r="D3" s="10" t="s">
        <v>20</v>
      </c>
      <c r="E3" s="10" t="s">
        <v>20</v>
      </c>
      <c r="F3" s="10" t="s">
        <v>21</v>
      </c>
      <c r="G3" s="11" t="s">
        <v>21</v>
      </c>
      <c r="H3" s="11" t="s">
        <v>21</v>
      </c>
      <c r="I3" s="11" t="s">
        <v>21</v>
      </c>
      <c r="J3" s="11" t="s">
        <v>21</v>
      </c>
      <c r="K3" s="11" t="s">
        <v>21</v>
      </c>
      <c r="L3" s="11" t="s">
        <v>21</v>
      </c>
      <c r="M3" s="11" t="s">
        <v>20</v>
      </c>
      <c r="N3" s="11" t="s">
        <v>20</v>
      </c>
      <c r="O3" s="11" t="s">
        <v>20</v>
      </c>
      <c r="P3" s="11" t="s">
        <v>20</v>
      </c>
      <c r="Q3" s="11" t="s">
        <v>20</v>
      </c>
      <c r="R3" s="11" t="s">
        <v>22</v>
      </c>
      <c r="S3" s="12" t="s">
        <v>20</v>
      </c>
      <c r="T3" s="13"/>
    </row>
    <row r="4">
      <c r="A4" s="14"/>
      <c r="B4" s="14"/>
      <c r="C4" s="14"/>
      <c r="D4" s="14"/>
      <c r="E4" s="14"/>
      <c r="F4" s="1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15" t="s">
        <v>23</v>
      </c>
      <c r="B5" s="16" t="s">
        <v>24</v>
      </c>
      <c r="C5" s="16" t="s">
        <v>25</v>
      </c>
      <c r="D5" s="16" t="s">
        <v>26</v>
      </c>
      <c r="E5" s="17" t="s">
        <v>27</v>
      </c>
      <c r="F5" s="18" t="s">
        <v>28</v>
      </c>
      <c r="G5" s="19" t="s">
        <v>29</v>
      </c>
      <c r="H5" s="19" t="s">
        <v>30</v>
      </c>
      <c r="I5" s="19" t="s">
        <v>31</v>
      </c>
      <c r="J5" s="19" t="s">
        <v>32</v>
      </c>
      <c r="K5" s="19" t="s">
        <v>33</v>
      </c>
      <c r="L5" s="19" t="s">
        <v>34</v>
      </c>
      <c r="M5" s="19" t="s">
        <v>35</v>
      </c>
      <c r="N5" s="19" t="s">
        <v>36</v>
      </c>
      <c r="O5" s="19" t="s">
        <v>37</v>
      </c>
      <c r="P5" s="19" t="s">
        <v>38</v>
      </c>
      <c r="Q5" s="19" t="str">
        <f t="shared" ref="Q5:Q347" si="1">IF(ISBLANK(A5), "", "HSK1-VOCAB-" &amp; TEXT(ROW(A1), "000"))</f>
        <v>HSK1-VOCAB-001</v>
      </c>
      <c r="R5" s="19" t="str">
        <f t="shared" ref="R5:R347" si="2">M5 &amp; IF(N5&lt;&gt;"","::"&amp;N5,"") &amp; IF(O5&lt;&gt;"","::"&amp;O5,"") &amp; IF(P5&lt;&gt;"","::"&amp;P5,"")
</f>
        <v>Chinese::HSK::HSK1::Vocabulary</v>
      </c>
      <c r="S5" s="20" t="s">
        <v>39</v>
      </c>
      <c r="T5" s="19" t="s">
        <v>40</v>
      </c>
    </row>
    <row r="6" ht="30.0" customHeight="1">
      <c r="A6" s="15" t="s">
        <v>41</v>
      </c>
      <c r="B6" s="16" t="s">
        <v>42</v>
      </c>
      <c r="C6" s="16" t="s">
        <v>43</v>
      </c>
      <c r="D6" s="16" t="s">
        <v>44</v>
      </c>
      <c r="E6" s="17" t="s">
        <v>27</v>
      </c>
      <c r="F6" s="18" t="s">
        <v>45</v>
      </c>
      <c r="G6" s="19" t="s">
        <v>46</v>
      </c>
      <c r="H6" s="19" t="s">
        <v>47</v>
      </c>
      <c r="I6" s="19" t="s">
        <v>48</v>
      </c>
      <c r="J6" s="19" t="s">
        <v>49</v>
      </c>
      <c r="K6" s="19" t="s">
        <v>50</v>
      </c>
      <c r="L6" s="19" t="s">
        <v>51</v>
      </c>
      <c r="M6" s="19" t="s">
        <v>35</v>
      </c>
      <c r="N6" s="19" t="s">
        <v>36</v>
      </c>
      <c r="O6" s="19" t="s">
        <v>37</v>
      </c>
      <c r="P6" s="19" t="s">
        <v>38</v>
      </c>
      <c r="Q6" s="19" t="str">
        <f t="shared" si="1"/>
        <v>HSK1-VOCAB-002</v>
      </c>
      <c r="R6" s="19" t="str">
        <f t="shared" si="2"/>
        <v>Chinese::HSK::HSK1::Vocabulary</v>
      </c>
      <c r="S6" s="20" t="s">
        <v>39</v>
      </c>
      <c r="T6" s="19" t="s">
        <v>40</v>
      </c>
    </row>
    <row r="7" ht="30.0" customHeight="1">
      <c r="A7" s="15" t="s">
        <v>52</v>
      </c>
      <c r="B7" s="16" t="s">
        <v>53</v>
      </c>
      <c r="C7" s="16" t="s">
        <v>54</v>
      </c>
      <c r="D7" s="16" t="s">
        <v>55</v>
      </c>
      <c r="E7" s="17" t="s">
        <v>27</v>
      </c>
      <c r="F7" s="18" t="s">
        <v>56</v>
      </c>
      <c r="G7" s="19" t="s">
        <v>57</v>
      </c>
      <c r="H7" s="19" t="s">
        <v>58</v>
      </c>
      <c r="I7" s="19" t="s">
        <v>59</v>
      </c>
      <c r="J7" s="19" t="s">
        <v>60</v>
      </c>
      <c r="K7" s="19" t="s">
        <v>61</v>
      </c>
      <c r="L7" s="19" t="s">
        <v>62</v>
      </c>
      <c r="M7" s="19" t="s">
        <v>35</v>
      </c>
      <c r="N7" s="19" t="s">
        <v>36</v>
      </c>
      <c r="O7" s="19" t="s">
        <v>37</v>
      </c>
      <c r="P7" s="19" t="s">
        <v>38</v>
      </c>
      <c r="Q7" s="19" t="str">
        <f t="shared" si="1"/>
        <v>HSK1-VOCAB-003</v>
      </c>
      <c r="R7" s="19" t="str">
        <f t="shared" si="2"/>
        <v>Chinese::HSK::HSK1::Vocabulary</v>
      </c>
      <c r="S7" s="20" t="s">
        <v>39</v>
      </c>
      <c r="T7" s="19" t="s">
        <v>40</v>
      </c>
    </row>
    <row r="8" ht="30.0" customHeight="1">
      <c r="A8" s="15" t="s">
        <v>63</v>
      </c>
      <c r="B8" s="16" t="s">
        <v>64</v>
      </c>
      <c r="C8" s="16" t="s">
        <v>65</v>
      </c>
      <c r="D8" s="16" t="s">
        <v>66</v>
      </c>
      <c r="E8" s="17" t="s">
        <v>27</v>
      </c>
      <c r="F8" s="18" t="s">
        <v>67</v>
      </c>
      <c r="G8" s="19" t="s">
        <v>68</v>
      </c>
      <c r="H8" s="19" t="s">
        <v>69</v>
      </c>
      <c r="I8" s="19" t="s">
        <v>70</v>
      </c>
      <c r="J8" s="19" t="s">
        <v>71</v>
      </c>
      <c r="K8" s="19" t="s">
        <v>72</v>
      </c>
      <c r="L8" s="19" t="s">
        <v>73</v>
      </c>
      <c r="M8" s="19" t="s">
        <v>35</v>
      </c>
      <c r="N8" s="19" t="s">
        <v>36</v>
      </c>
      <c r="O8" s="19" t="s">
        <v>37</v>
      </c>
      <c r="P8" s="19" t="s">
        <v>38</v>
      </c>
      <c r="Q8" s="19" t="str">
        <f t="shared" si="1"/>
        <v>HSK1-VOCAB-004</v>
      </c>
      <c r="R8" s="19" t="str">
        <f t="shared" si="2"/>
        <v>Chinese::HSK::HSK1::Vocabulary</v>
      </c>
      <c r="S8" s="20" t="s">
        <v>39</v>
      </c>
      <c r="T8" s="19" t="s">
        <v>40</v>
      </c>
    </row>
    <row r="9" ht="30.0" customHeight="1">
      <c r="A9" s="15" t="s">
        <v>74</v>
      </c>
      <c r="B9" s="16" t="s">
        <v>75</v>
      </c>
      <c r="C9" s="16" t="s">
        <v>76</v>
      </c>
      <c r="D9" s="16" t="s">
        <v>77</v>
      </c>
      <c r="E9" s="17" t="s">
        <v>27</v>
      </c>
      <c r="F9" s="18" t="s">
        <v>78</v>
      </c>
      <c r="G9" s="19" t="s">
        <v>79</v>
      </c>
      <c r="H9" s="19" t="s">
        <v>80</v>
      </c>
      <c r="I9" s="19" t="s">
        <v>81</v>
      </c>
      <c r="J9" s="19" t="s">
        <v>82</v>
      </c>
      <c r="K9" s="19" t="s">
        <v>83</v>
      </c>
      <c r="L9" s="19" t="s">
        <v>84</v>
      </c>
      <c r="M9" s="19" t="s">
        <v>35</v>
      </c>
      <c r="N9" s="19" t="s">
        <v>36</v>
      </c>
      <c r="O9" s="19" t="s">
        <v>37</v>
      </c>
      <c r="P9" s="19" t="s">
        <v>38</v>
      </c>
      <c r="Q9" s="19" t="str">
        <f t="shared" si="1"/>
        <v>HSK1-VOCAB-005</v>
      </c>
      <c r="R9" s="19" t="str">
        <f t="shared" si="2"/>
        <v>Chinese::HSK::HSK1::Vocabulary</v>
      </c>
      <c r="S9" s="20" t="s">
        <v>39</v>
      </c>
      <c r="T9" s="19" t="s">
        <v>40</v>
      </c>
    </row>
    <row r="10" ht="30.0" customHeight="1">
      <c r="A10" s="15" t="s">
        <v>85</v>
      </c>
      <c r="B10" s="16" t="s">
        <v>86</v>
      </c>
      <c r="C10" s="16" t="s">
        <v>87</v>
      </c>
      <c r="D10" s="16" t="s">
        <v>88</v>
      </c>
      <c r="E10" s="17" t="s">
        <v>27</v>
      </c>
      <c r="F10" s="18" t="s">
        <v>89</v>
      </c>
      <c r="G10" s="19" t="s">
        <v>90</v>
      </c>
      <c r="H10" s="19" t="s">
        <v>91</v>
      </c>
      <c r="I10" s="19" t="s">
        <v>92</v>
      </c>
      <c r="J10" s="19" t="s">
        <v>93</v>
      </c>
      <c r="K10" s="19" t="s">
        <v>94</v>
      </c>
      <c r="L10" s="19" t="s">
        <v>95</v>
      </c>
      <c r="M10" s="19" t="s">
        <v>35</v>
      </c>
      <c r="N10" s="19" t="s">
        <v>36</v>
      </c>
      <c r="O10" s="19" t="s">
        <v>37</v>
      </c>
      <c r="P10" s="19" t="s">
        <v>38</v>
      </c>
      <c r="Q10" s="19" t="str">
        <f t="shared" si="1"/>
        <v>HSK1-VOCAB-006</v>
      </c>
      <c r="R10" s="19" t="str">
        <f t="shared" si="2"/>
        <v>Chinese::HSK::HSK1::Vocabulary</v>
      </c>
      <c r="S10" s="20" t="s">
        <v>39</v>
      </c>
      <c r="T10" s="4"/>
    </row>
    <row r="11" ht="30.0" customHeight="1">
      <c r="A11" s="15" t="s">
        <v>96</v>
      </c>
      <c r="B11" s="16" t="s">
        <v>97</v>
      </c>
      <c r="C11" s="16" t="s">
        <v>98</v>
      </c>
      <c r="D11" s="16" t="s">
        <v>99</v>
      </c>
      <c r="E11" s="17" t="s">
        <v>27</v>
      </c>
      <c r="F11" s="18" t="s">
        <v>100</v>
      </c>
      <c r="G11" s="19" t="s">
        <v>101</v>
      </c>
      <c r="H11" s="19" t="s">
        <v>102</v>
      </c>
      <c r="I11" s="19" t="s">
        <v>103</v>
      </c>
      <c r="J11" s="19" t="s">
        <v>104</v>
      </c>
      <c r="K11" s="19" t="s">
        <v>105</v>
      </c>
      <c r="L11" s="19" t="s">
        <v>106</v>
      </c>
      <c r="M11" s="19" t="s">
        <v>35</v>
      </c>
      <c r="N11" s="19" t="s">
        <v>36</v>
      </c>
      <c r="O11" s="19" t="s">
        <v>37</v>
      </c>
      <c r="P11" s="19" t="s">
        <v>38</v>
      </c>
      <c r="Q11" s="19" t="str">
        <f t="shared" si="1"/>
        <v>HSK1-VOCAB-007</v>
      </c>
      <c r="R11" s="19" t="str">
        <f t="shared" si="2"/>
        <v>Chinese::HSK::HSK1::Vocabulary</v>
      </c>
      <c r="S11" s="20" t="s">
        <v>39</v>
      </c>
      <c r="T11" s="19" t="s">
        <v>40</v>
      </c>
    </row>
    <row r="12" ht="30.0" customHeight="1">
      <c r="A12" s="15" t="s">
        <v>107</v>
      </c>
      <c r="B12" s="16" t="s">
        <v>108</v>
      </c>
      <c r="C12" s="16" t="s">
        <v>98</v>
      </c>
      <c r="D12" s="16" t="s">
        <v>99</v>
      </c>
      <c r="E12" s="17" t="s">
        <v>27</v>
      </c>
      <c r="F12" s="18" t="s">
        <v>109</v>
      </c>
      <c r="G12" s="19" t="s">
        <v>110</v>
      </c>
      <c r="H12" s="19" t="s">
        <v>111</v>
      </c>
      <c r="I12" s="19" t="s">
        <v>112</v>
      </c>
      <c r="J12" s="19" t="s">
        <v>113</v>
      </c>
      <c r="K12" s="19" t="s">
        <v>114</v>
      </c>
      <c r="L12" s="19" t="s">
        <v>106</v>
      </c>
      <c r="M12" s="19" t="s">
        <v>35</v>
      </c>
      <c r="N12" s="19" t="s">
        <v>36</v>
      </c>
      <c r="O12" s="19" t="s">
        <v>37</v>
      </c>
      <c r="P12" s="19" t="s">
        <v>38</v>
      </c>
      <c r="Q12" s="19" t="str">
        <f t="shared" si="1"/>
        <v>HSK1-VOCAB-008</v>
      </c>
      <c r="R12" s="19" t="str">
        <f t="shared" si="2"/>
        <v>Chinese::HSK::HSK1::Vocabulary</v>
      </c>
      <c r="S12" s="20" t="s">
        <v>39</v>
      </c>
      <c r="T12" s="19" t="s">
        <v>40</v>
      </c>
    </row>
    <row r="13" ht="30.0" customHeight="1">
      <c r="A13" s="15" t="s">
        <v>115</v>
      </c>
      <c r="B13" s="16" t="s">
        <v>116</v>
      </c>
      <c r="C13" s="16" t="s">
        <v>117</v>
      </c>
      <c r="D13" s="16" t="s">
        <v>118</v>
      </c>
      <c r="E13" s="17" t="s">
        <v>27</v>
      </c>
      <c r="F13" s="18" t="s">
        <v>119</v>
      </c>
      <c r="G13" s="20" t="s">
        <v>120</v>
      </c>
      <c r="H13" s="20" t="s">
        <v>121</v>
      </c>
      <c r="I13" s="20" t="s">
        <v>122</v>
      </c>
      <c r="J13" s="20" t="s">
        <v>123</v>
      </c>
      <c r="K13" s="20" t="s">
        <v>124</v>
      </c>
      <c r="L13" s="20" t="s">
        <v>125</v>
      </c>
      <c r="M13" s="19" t="s">
        <v>35</v>
      </c>
      <c r="N13" s="19" t="s">
        <v>36</v>
      </c>
      <c r="O13" s="19" t="s">
        <v>37</v>
      </c>
      <c r="P13" s="19" t="s">
        <v>38</v>
      </c>
      <c r="Q13" s="19" t="str">
        <f t="shared" si="1"/>
        <v>HSK1-VOCAB-009</v>
      </c>
      <c r="R13" s="19" t="str">
        <f t="shared" si="2"/>
        <v>Chinese::HSK::HSK1::Vocabulary</v>
      </c>
      <c r="S13" s="20" t="s">
        <v>39</v>
      </c>
      <c r="T13" s="19" t="s">
        <v>40</v>
      </c>
    </row>
    <row r="14" ht="30.0" customHeight="1">
      <c r="A14" s="15" t="s">
        <v>126</v>
      </c>
      <c r="B14" s="16" t="s">
        <v>127</v>
      </c>
      <c r="C14" s="16" t="s">
        <v>128</v>
      </c>
      <c r="D14" s="16" t="s">
        <v>129</v>
      </c>
      <c r="E14" s="17" t="s">
        <v>27</v>
      </c>
      <c r="F14" s="18" t="s">
        <v>130</v>
      </c>
      <c r="G14" s="20" t="s">
        <v>131</v>
      </c>
      <c r="H14" s="20" t="s">
        <v>132</v>
      </c>
      <c r="I14" s="20" t="s">
        <v>133</v>
      </c>
      <c r="J14" s="20" t="s">
        <v>134</v>
      </c>
      <c r="K14" s="20" t="s">
        <v>135</v>
      </c>
      <c r="L14" s="20" t="s">
        <v>136</v>
      </c>
      <c r="M14" s="19" t="s">
        <v>35</v>
      </c>
      <c r="N14" s="19" t="s">
        <v>36</v>
      </c>
      <c r="O14" s="19" t="s">
        <v>37</v>
      </c>
      <c r="P14" s="19" t="s">
        <v>38</v>
      </c>
      <c r="Q14" s="19" t="str">
        <f t="shared" si="1"/>
        <v>HSK1-VOCAB-010</v>
      </c>
      <c r="R14" s="19" t="str">
        <f t="shared" si="2"/>
        <v>Chinese::HSK::HSK1::Vocabulary</v>
      </c>
      <c r="S14" s="20" t="s">
        <v>39</v>
      </c>
      <c r="T14" s="19" t="s">
        <v>40</v>
      </c>
    </row>
    <row r="15" ht="30.0" customHeight="1">
      <c r="A15" s="15" t="s">
        <v>137</v>
      </c>
      <c r="B15" s="16" t="s">
        <v>138</v>
      </c>
      <c r="C15" s="16" t="s">
        <v>139</v>
      </c>
      <c r="D15" s="16" t="s">
        <v>140</v>
      </c>
      <c r="E15" s="17" t="s">
        <v>27</v>
      </c>
      <c r="F15" s="18" t="s">
        <v>141</v>
      </c>
      <c r="G15" s="20" t="s">
        <v>142</v>
      </c>
      <c r="H15" s="20" t="s">
        <v>143</v>
      </c>
      <c r="I15" s="20" t="s">
        <v>144</v>
      </c>
      <c r="J15" s="20" t="s">
        <v>145</v>
      </c>
      <c r="K15" s="20" t="s">
        <v>146</v>
      </c>
      <c r="L15" s="20" t="s">
        <v>147</v>
      </c>
      <c r="M15" s="19" t="s">
        <v>35</v>
      </c>
      <c r="N15" s="19" t="s">
        <v>36</v>
      </c>
      <c r="O15" s="19" t="s">
        <v>37</v>
      </c>
      <c r="P15" s="19" t="s">
        <v>38</v>
      </c>
      <c r="Q15" s="19" t="str">
        <f t="shared" si="1"/>
        <v>HSK1-VOCAB-011</v>
      </c>
      <c r="R15" s="19" t="str">
        <f t="shared" si="2"/>
        <v>Chinese::HSK::HSK1::Vocabulary</v>
      </c>
      <c r="S15" s="20" t="s">
        <v>39</v>
      </c>
      <c r="T15" s="19" t="s">
        <v>40</v>
      </c>
    </row>
    <row r="16" ht="30.0" customHeight="1">
      <c r="A16" s="15" t="s">
        <v>148</v>
      </c>
      <c r="B16" s="16" t="s">
        <v>149</v>
      </c>
      <c r="C16" s="16" t="s">
        <v>150</v>
      </c>
      <c r="D16" s="16" t="s">
        <v>151</v>
      </c>
      <c r="E16" s="17" t="s">
        <v>27</v>
      </c>
      <c r="F16" s="18" t="s">
        <v>152</v>
      </c>
      <c r="G16" s="20" t="s">
        <v>153</v>
      </c>
      <c r="H16" s="20" t="s">
        <v>154</v>
      </c>
      <c r="I16" s="20" t="s">
        <v>155</v>
      </c>
      <c r="J16" s="20" t="s">
        <v>156</v>
      </c>
      <c r="K16" s="20" t="s">
        <v>157</v>
      </c>
      <c r="L16" s="20" t="s">
        <v>158</v>
      </c>
      <c r="M16" s="19" t="s">
        <v>35</v>
      </c>
      <c r="N16" s="19" t="s">
        <v>36</v>
      </c>
      <c r="O16" s="19" t="s">
        <v>37</v>
      </c>
      <c r="P16" s="19" t="s">
        <v>38</v>
      </c>
      <c r="Q16" s="19" t="str">
        <f t="shared" si="1"/>
        <v>HSK1-VOCAB-012</v>
      </c>
      <c r="R16" s="19" t="str">
        <f t="shared" si="2"/>
        <v>Chinese::HSK::HSK1::Vocabulary</v>
      </c>
      <c r="S16" s="20" t="s">
        <v>39</v>
      </c>
      <c r="T16" s="19" t="s">
        <v>40</v>
      </c>
    </row>
    <row r="17" ht="30.0" customHeight="1">
      <c r="A17" s="15" t="s">
        <v>159</v>
      </c>
      <c r="B17" s="16" t="s">
        <v>160</v>
      </c>
      <c r="C17" s="16" t="s">
        <v>161</v>
      </c>
      <c r="D17" s="16" t="s">
        <v>162</v>
      </c>
      <c r="E17" s="17" t="s">
        <v>27</v>
      </c>
      <c r="F17" s="18" t="s">
        <v>163</v>
      </c>
      <c r="G17" s="20" t="s">
        <v>164</v>
      </c>
      <c r="H17" s="20" t="s">
        <v>165</v>
      </c>
      <c r="I17" s="20" t="s">
        <v>166</v>
      </c>
      <c r="J17" s="20" t="s">
        <v>167</v>
      </c>
      <c r="K17" s="20" t="s">
        <v>168</v>
      </c>
      <c r="L17" s="20" t="s">
        <v>169</v>
      </c>
      <c r="M17" s="19" t="s">
        <v>35</v>
      </c>
      <c r="N17" s="19" t="s">
        <v>36</v>
      </c>
      <c r="O17" s="19" t="s">
        <v>37</v>
      </c>
      <c r="P17" s="19" t="s">
        <v>38</v>
      </c>
      <c r="Q17" s="19" t="str">
        <f t="shared" si="1"/>
        <v>HSK1-VOCAB-013</v>
      </c>
      <c r="R17" s="19" t="str">
        <f t="shared" si="2"/>
        <v>Chinese::HSK::HSK1::Vocabulary</v>
      </c>
      <c r="S17" s="20" t="s">
        <v>39</v>
      </c>
      <c r="T17" s="19" t="s">
        <v>40</v>
      </c>
    </row>
    <row r="18" ht="30.0" customHeight="1">
      <c r="A18" s="15" t="s">
        <v>170</v>
      </c>
      <c r="B18" s="16" t="s">
        <v>171</v>
      </c>
      <c r="C18" s="16" t="s">
        <v>172</v>
      </c>
      <c r="D18" s="16" t="s">
        <v>173</v>
      </c>
      <c r="E18" s="17" t="s">
        <v>27</v>
      </c>
      <c r="F18" s="18" t="s">
        <v>174</v>
      </c>
      <c r="G18" s="20" t="s">
        <v>175</v>
      </c>
      <c r="H18" s="20" t="s">
        <v>176</v>
      </c>
      <c r="I18" s="20" t="s">
        <v>177</v>
      </c>
      <c r="J18" s="20" t="s">
        <v>178</v>
      </c>
      <c r="K18" s="20" t="s">
        <v>179</v>
      </c>
      <c r="L18" s="20" t="s">
        <v>180</v>
      </c>
      <c r="M18" s="19" t="s">
        <v>35</v>
      </c>
      <c r="N18" s="19" t="s">
        <v>36</v>
      </c>
      <c r="O18" s="19" t="s">
        <v>37</v>
      </c>
      <c r="P18" s="19" t="s">
        <v>38</v>
      </c>
      <c r="Q18" s="19" t="str">
        <f t="shared" si="1"/>
        <v>HSK1-VOCAB-014</v>
      </c>
      <c r="R18" s="19" t="str">
        <f t="shared" si="2"/>
        <v>Chinese::HSK::HSK1::Vocabulary</v>
      </c>
      <c r="S18" s="20" t="s">
        <v>39</v>
      </c>
      <c r="T18" s="19" t="s">
        <v>40</v>
      </c>
    </row>
    <row r="19" ht="30.0" customHeight="1">
      <c r="A19" s="15" t="s">
        <v>181</v>
      </c>
      <c r="B19" s="16" t="s">
        <v>182</v>
      </c>
      <c r="C19" s="16" t="s">
        <v>183</v>
      </c>
      <c r="D19" s="16" t="s">
        <v>184</v>
      </c>
      <c r="E19" s="17" t="s">
        <v>27</v>
      </c>
      <c r="F19" s="18" t="s">
        <v>185</v>
      </c>
      <c r="G19" s="20" t="s">
        <v>186</v>
      </c>
      <c r="H19" s="20" t="s">
        <v>187</v>
      </c>
      <c r="I19" s="20" t="s">
        <v>188</v>
      </c>
      <c r="J19" s="20" t="s">
        <v>189</v>
      </c>
      <c r="K19" s="20" t="s">
        <v>190</v>
      </c>
      <c r="L19" s="20" t="s">
        <v>191</v>
      </c>
      <c r="M19" s="19" t="s">
        <v>35</v>
      </c>
      <c r="N19" s="19" t="s">
        <v>36</v>
      </c>
      <c r="O19" s="19" t="s">
        <v>37</v>
      </c>
      <c r="P19" s="19" t="s">
        <v>38</v>
      </c>
      <c r="Q19" s="19" t="str">
        <f t="shared" si="1"/>
        <v>HSK1-VOCAB-015</v>
      </c>
      <c r="R19" s="19" t="str">
        <f t="shared" si="2"/>
        <v>Chinese::HSK::HSK1::Vocabulary</v>
      </c>
      <c r="S19" s="20" t="s">
        <v>39</v>
      </c>
      <c r="T19" s="19" t="s">
        <v>40</v>
      </c>
    </row>
    <row r="20" ht="30.0" customHeight="1">
      <c r="A20" s="15" t="s">
        <v>192</v>
      </c>
      <c r="B20" s="16" t="s">
        <v>193</v>
      </c>
      <c r="C20" s="16" t="s">
        <v>194</v>
      </c>
      <c r="D20" s="16" t="s">
        <v>195</v>
      </c>
      <c r="E20" s="17" t="s">
        <v>27</v>
      </c>
      <c r="F20" s="18" t="s">
        <v>196</v>
      </c>
      <c r="G20" s="20" t="s">
        <v>197</v>
      </c>
      <c r="H20" s="20" t="s">
        <v>198</v>
      </c>
      <c r="I20" s="20" t="s">
        <v>199</v>
      </c>
      <c r="J20" s="20" t="s">
        <v>200</v>
      </c>
      <c r="K20" s="20" t="s">
        <v>201</v>
      </c>
      <c r="L20" s="20" t="s">
        <v>202</v>
      </c>
      <c r="M20" s="19" t="s">
        <v>35</v>
      </c>
      <c r="N20" s="19" t="s">
        <v>36</v>
      </c>
      <c r="O20" s="19" t="s">
        <v>37</v>
      </c>
      <c r="P20" s="19" t="s">
        <v>38</v>
      </c>
      <c r="Q20" s="19" t="str">
        <f t="shared" si="1"/>
        <v>HSK1-VOCAB-016</v>
      </c>
      <c r="R20" s="19" t="str">
        <f t="shared" si="2"/>
        <v>Chinese::HSK::HSK1::Vocabulary</v>
      </c>
      <c r="S20" s="20" t="s">
        <v>39</v>
      </c>
      <c r="T20" s="19" t="s">
        <v>40</v>
      </c>
    </row>
    <row r="21" ht="30.0" customHeight="1">
      <c r="A21" s="15" t="s">
        <v>203</v>
      </c>
      <c r="B21" s="16" t="s">
        <v>204</v>
      </c>
      <c r="C21" s="16" t="s">
        <v>205</v>
      </c>
      <c r="D21" s="16" t="s">
        <v>118</v>
      </c>
      <c r="E21" s="17" t="s">
        <v>27</v>
      </c>
      <c r="F21" s="18" t="s">
        <v>206</v>
      </c>
      <c r="G21" s="20" t="s">
        <v>207</v>
      </c>
      <c r="H21" s="20" t="s">
        <v>208</v>
      </c>
      <c r="I21" s="20" t="s">
        <v>209</v>
      </c>
      <c r="J21" s="20" t="s">
        <v>210</v>
      </c>
      <c r="K21" s="20" t="s">
        <v>211</v>
      </c>
      <c r="L21" s="20" t="s">
        <v>212</v>
      </c>
      <c r="M21" s="19" t="s">
        <v>35</v>
      </c>
      <c r="N21" s="19" t="s">
        <v>36</v>
      </c>
      <c r="O21" s="19" t="s">
        <v>37</v>
      </c>
      <c r="P21" s="19" t="s">
        <v>38</v>
      </c>
      <c r="Q21" s="19" t="str">
        <f t="shared" si="1"/>
        <v>HSK1-VOCAB-017</v>
      </c>
      <c r="R21" s="19" t="str">
        <f t="shared" si="2"/>
        <v>Chinese::HSK::HSK1::Vocabulary</v>
      </c>
      <c r="S21" s="20" t="s">
        <v>39</v>
      </c>
      <c r="T21" s="19" t="s">
        <v>40</v>
      </c>
    </row>
    <row r="22" ht="30.0" customHeight="1">
      <c r="A22" s="15" t="s">
        <v>213</v>
      </c>
      <c r="B22" s="16" t="s">
        <v>214</v>
      </c>
      <c r="C22" s="16" t="s">
        <v>215</v>
      </c>
      <c r="D22" s="16" t="s">
        <v>216</v>
      </c>
      <c r="E22" s="17" t="s">
        <v>27</v>
      </c>
      <c r="F22" s="18" t="s">
        <v>217</v>
      </c>
      <c r="G22" s="19" t="s">
        <v>218</v>
      </c>
      <c r="H22" s="19" t="s">
        <v>219</v>
      </c>
      <c r="I22" s="19" t="s">
        <v>220</v>
      </c>
      <c r="J22" s="19" t="s">
        <v>221</v>
      </c>
      <c r="K22" s="19" t="s">
        <v>222</v>
      </c>
      <c r="L22" s="19" t="s">
        <v>223</v>
      </c>
      <c r="M22" s="19" t="s">
        <v>35</v>
      </c>
      <c r="N22" s="19" t="s">
        <v>36</v>
      </c>
      <c r="O22" s="19" t="s">
        <v>37</v>
      </c>
      <c r="P22" s="19" t="s">
        <v>38</v>
      </c>
      <c r="Q22" s="19" t="str">
        <f t="shared" si="1"/>
        <v>HSK1-VOCAB-018</v>
      </c>
      <c r="R22" s="19" t="str">
        <f t="shared" si="2"/>
        <v>Chinese::HSK::HSK1::Vocabulary</v>
      </c>
      <c r="S22" s="21" t="s">
        <v>224</v>
      </c>
      <c r="T22" s="19" t="s">
        <v>40</v>
      </c>
    </row>
    <row r="23" ht="30.0" customHeight="1">
      <c r="A23" s="15" t="s">
        <v>225</v>
      </c>
      <c r="B23" s="16" t="s">
        <v>226</v>
      </c>
      <c r="C23" s="16" t="s">
        <v>227</v>
      </c>
      <c r="D23" s="16" t="s">
        <v>228</v>
      </c>
      <c r="E23" s="17" t="s">
        <v>27</v>
      </c>
      <c r="F23" s="18" t="s">
        <v>229</v>
      </c>
      <c r="G23" s="19" t="s">
        <v>230</v>
      </c>
      <c r="H23" s="19" t="s">
        <v>231</v>
      </c>
      <c r="I23" s="19" t="s">
        <v>232</v>
      </c>
      <c r="J23" s="19" t="s">
        <v>233</v>
      </c>
      <c r="K23" s="19" t="s">
        <v>234</v>
      </c>
      <c r="L23" s="19" t="s">
        <v>235</v>
      </c>
      <c r="M23" s="19" t="s">
        <v>35</v>
      </c>
      <c r="N23" s="19" t="s">
        <v>36</v>
      </c>
      <c r="O23" s="19" t="s">
        <v>37</v>
      </c>
      <c r="P23" s="19" t="s">
        <v>38</v>
      </c>
      <c r="Q23" s="19" t="str">
        <f t="shared" si="1"/>
        <v>HSK1-VOCAB-019</v>
      </c>
      <c r="R23" s="19" t="str">
        <f t="shared" si="2"/>
        <v>Chinese::HSK::HSK1::Vocabulary</v>
      </c>
      <c r="S23" s="21" t="s">
        <v>224</v>
      </c>
      <c r="T23" s="19" t="s">
        <v>40</v>
      </c>
    </row>
    <row r="24" ht="30.0" customHeight="1">
      <c r="A24" s="15" t="s">
        <v>236</v>
      </c>
      <c r="B24" s="16" t="s">
        <v>237</v>
      </c>
      <c r="C24" s="16" t="s">
        <v>238</v>
      </c>
      <c r="D24" s="16" t="s">
        <v>239</v>
      </c>
      <c r="E24" s="17" t="s">
        <v>240</v>
      </c>
      <c r="F24" s="22" t="s">
        <v>241</v>
      </c>
      <c r="G24" s="23" t="s">
        <v>242</v>
      </c>
      <c r="H24" s="23" t="s">
        <v>243</v>
      </c>
      <c r="I24" s="23" t="s">
        <v>244</v>
      </c>
      <c r="J24" s="23" t="s">
        <v>245</v>
      </c>
      <c r="K24" s="23" t="s">
        <v>246</v>
      </c>
      <c r="L24" s="23" t="s">
        <v>247</v>
      </c>
      <c r="M24" s="23" t="s">
        <v>35</v>
      </c>
      <c r="N24" s="23" t="s">
        <v>36</v>
      </c>
      <c r="O24" s="23" t="s">
        <v>37</v>
      </c>
      <c r="P24" s="23" t="s">
        <v>38</v>
      </c>
      <c r="Q24" s="19" t="str">
        <f t="shared" si="1"/>
        <v>HSK1-VOCAB-020</v>
      </c>
      <c r="R24" s="19" t="str">
        <f t="shared" si="2"/>
        <v>Chinese::HSK::HSK1::Vocabulary</v>
      </c>
      <c r="S24" s="24" t="s">
        <v>224</v>
      </c>
      <c r="T24" s="23" t="s">
        <v>40</v>
      </c>
    </row>
    <row r="25" ht="30.0" customHeight="1">
      <c r="A25" s="15" t="s">
        <v>248</v>
      </c>
      <c r="B25" s="16" t="s">
        <v>249</v>
      </c>
      <c r="C25" s="16" t="s">
        <v>250</v>
      </c>
      <c r="D25" s="16" t="s">
        <v>251</v>
      </c>
      <c r="E25" s="17" t="s">
        <v>27</v>
      </c>
      <c r="F25" s="18" t="s">
        <v>252</v>
      </c>
      <c r="G25" s="19" t="s">
        <v>253</v>
      </c>
      <c r="H25" s="19" t="s">
        <v>254</v>
      </c>
      <c r="I25" s="19" t="s">
        <v>255</v>
      </c>
      <c r="J25" s="19" t="s">
        <v>256</v>
      </c>
      <c r="K25" s="19" t="s">
        <v>257</v>
      </c>
      <c r="L25" s="19" t="s">
        <v>258</v>
      </c>
      <c r="M25" s="19" t="s">
        <v>35</v>
      </c>
      <c r="N25" s="19" t="s">
        <v>36</v>
      </c>
      <c r="O25" s="19" t="s">
        <v>37</v>
      </c>
      <c r="P25" s="19" t="s">
        <v>38</v>
      </c>
      <c r="Q25" s="19" t="str">
        <f t="shared" si="1"/>
        <v>HSK1-VOCAB-021</v>
      </c>
      <c r="R25" s="19" t="str">
        <f t="shared" si="2"/>
        <v>Chinese::HSK::HSK1::Vocabulary</v>
      </c>
      <c r="S25" s="21" t="s">
        <v>224</v>
      </c>
      <c r="T25" s="19" t="s">
        <v>40</v>
      </c>
    </row>
    <row r="26" ht="30.0" customHeight="1">
      <c r="A26" s="15" t="s">
        <v>259</v>
      </c>
      <c r="B26" s="16" t="s">
        <v>260</v>
      </c>
      <c r="C26" s="16" t="s">
        <v>261</v>
      </c>
      <c r="D26" s="16" t="s">
        <v>262</v>
      </c>
      <c r="E26" s="17" t="s">
        <v>27</v>
      </c>
      <c r="F26" s="18" t="s">
        <v>263</v>
      </c>
      <c r="G26" s="19" t="s">
        <v>264</v>
      </c>
      <c r="H26" s="19" t="s">
        <v>265</v>
      </c>
      <c r="I26" s="19" t="s">
        <v>266</v>
      </c>
      <c r="J26" s="19" t="s">
        <v>267</v>
      </c>
      <c r="K26" s="19" t="s">
        <v>268</v>
      </c>
      <c r="L26" s="19" t="s">
        <v>269</v>
      </c>
      <c r="M26" s="19" t="s">
        <v>35</v>
      </c>
      <c r="N26" s="19" t="s">
        <v>36</v>
      </c>
      <c r="O26" s="19" t="s">
        <v>37</v>
      </c>
      <c r="P26" s="19" t="s">
        <v>38</v>
      </c>
      <c r="Q26" s="19" t="str">
        <f t="shared" si="1"/>
        <v>HSK1-VOCAB-022</v>
      </c>
      <c r="R26" s="19" t="str">
        <f t="shared" si="2"/>
        <v>Chinese::HSK::HSK1::Vocabulary</v>
      </c>
      <c r="S26" s="20" t="s">
        <v>224</v>
      </c>
      <c r="T26" s="19" t="s">
        <v>40</v>
      </c>
    </row>
    <row r="27" ht="30.0" customHeight="1">
      <c r="A27" s="15" t="s">
        <v>270</v>
      </c>
      <c r="B27" s="16" t="s">
        <v>271</v>
      </c>
      <c r="C27" s="16" t="s">
        <v>272</v>
      </c>
      <c r="D27" s="16" t="s">
        <v>273</v>
      </c>
      <c r="E27" s="17" t="s">
        <v>27</v>
      </c>
      <c r="F27" s="18" t="s">
        <v>274</v>
      </c>
      <c r="G27" s="19" t="s">
        <v>275</v>
      </c>
      <c r="H27" s="19" t="s">
        <v>276</v>
      </c>
      <c r="I27" s="19" t="s">
        <v>277</v>
      </c>
      <c r="J27" s="19" t="s">
        <v>278</v>
      </c>
      <c r="K27" s="19" t="s">
        <v>279</v>
      </c>
      <c r="L27" s="19" t="s">
        <v>280</v>
      </c>
      <c r="M27" s="19" t="s">
        <v>35</v>
      </c>
      <c r="N27" s="19" t="s">
        <v>36</v>
      </c>
      <c r="O27" s="19" t="s">
        <v>37</v>
      </c>
      <c r="P27" s="19" t="s">
        <v>38</v>
      </c>
      <c r="Q27" s="19" t="str">
        <f t="shared" si="1"/>
        <v>HSK1-VOCAB-023</v>
      </c>
      <c r="R27" s="19" t="str">
        <f t="shared" si="2"/>
        <v>Chinese::HSK::HSK1::Vocabulary</v>
      </c>
      <c r="S27" s="20" t="s">
        <v>224</v>
      </c>
      <c r="T27" s="19" t="s">
        <v>40</v>
      </c>
    </row>
    <row r="28" ht="30.0" customHeight="1">
      <c r="A28" s="15" t="s">
        <v>281</v>
      </c>
      <c r="B28" s="16" t="s">
        <v>282</v>
      </c>
      <c r="C28" s="16" t="s">
        <v>283</v>
      </c>
      <c r="D28" s="16" t="s">
        <v>284</v>
      </c>
      <c r="E28" s="17" t="s">
        <v>27</v>
      </c>
      <c r="F28" s="18" t="s">
        <v>285</v>
      </c>
      <c r="G28" s="19" t="s">
        <v>286</v>
      </c>
      <c r="H28" s="19" t="s">
        <v>287</v>
      </c>
      <c r="I28" s="19" t="s">
        <v>288</v>
      </c>
      <c r="J28" s="19" t="s">
        <v>289</v>
      </c>
      <c r="K28" s="19" t="s">
        <v>290</v>
      </c>
      <c r="L28" s="19" t="s">
        <v>291</v>
      </c>
      <c r="M28" s="19" t="s">
        <v>35</v>
      </c>
      <c r="N28" s="19" t="s">
        <v>36</v>
      </c>
      <c r="O28" s="19" t="s">
        <v>37</v>
      </c>
      <c r="P28" s="19" t="s">
        <v>38</v>
      </c>
      <c r="Q28" s="19" t="str">
        <f t="shared" si="1"/>
        <v>HSK1-VOCAB-024</v>
      </c>
      <c r="R28" s="19" t="str">
        <f t="shared" si="2"/>
        <v>Chinese::HSK::HSK1::Vocabulary</v>
      </c>
      <c r="S28" s="20" t="s">
        <v>224</v>
      </c>
      <c r="T28" s="19" t="s">
        <v>40</v>
      </c>
    </row>
    <row r="29" ht="30.0" customHeight="1">
      <c r="A29" s="25" t="s">
        <v>292</v>
      </c>
      <c r="B29" s="16" t="s">
        <v>293</v>
      </c>
      <c r="C29" s="16" t="s">
        <v>294</v>
      </c>
      <c r="D29" s="16" t="s">
        <v>295</v>
      </c>
      <c r="E29" s="17" t="s">
        <v>27</v>
      </c>
      <c r="F29" s="18" t="s">
        <v>296</v>
      </c>
      <c r="G29" s="19" t="s">
        <v>297</v>
      </c>
      <c r="H29" s="19" t="s">
        <v>298</v>
      </c>
      <c r="I29" s="19" t="s">
        <v>299</v>
      </c>
      <c r="J29" s="19" t="s">
        <v>300</v>
      </c>
      <c r="K29" s="19" t="s">
        <v>301</v>
      </c>
      <c r="L29" s="19" t="s">
        <v>302</v>
      </c>
      <c r="M29" s="19" t="s">
        <v>35</v>
      </c>
      <c r="N29" s="19" t="s">
        <v>36</v>
      </c>
      <c r="O29" s="19" t="s">
        <v>37</v>
      </c>
      <c r="P29" s="19" t="s">
        <v>38</v>
      </c>
      <c r="Q29" s="19" t="str">
        <f t="shared" si="1"/>
        <v>HSK1-VOCAB-025</v>
      </c>
      <c r="R29" s="19" t="str">
        <f t="shared" si="2"/>
        <v>Chinese::HSK::HSK1::Vocabulary</v>
      </c>
      <c r="S29" s="20" t="s">
        <v>224</v>
      </c>
      <c r="T29" s="19" t="s">
        <v>40</v>
      </c>
    </row>
    <row r="30" ht="30.0" customHeight="1">
      <c r="A30" s="15" t="s">
        <v>303</v>
      </c>
      <c r="B30" s="16" t="s">
        <v>304</v>
      </c>
      <c r="C30" s="16" t="s">
        <v>305</v>
      </c>
      <c r="D30" s="16" t="s">
        <v>306</v>
      </c>
      <c r="E30" s="17" t="s">
        <v>27</v>
      </c>
      <c r="F30" s="18" t="s">
        <v>307</v>
      </c>
      <c r="G30" s="19" t="s">
        <v>308</v>
      </c>
      <c r="H30" s="19" t="s">
        <v>309</v>
      </c>
      <c r="I30" s="19" t="s">
        <v>310</v>
      </c>
      <c r="J30" s="19" t="s">
        <v>311</v>
      </c>
      <c r="K30" s="19" t="s">
        <v>312</v>
      </c>
      <c r="L30" s="19" t="s">
        <v>313</v>
      </c>
      <c r="M30" s="19" t="s">
        <v>35</v>
      </c>
      <c r="N30" s="19" t="s">
        <v>36</v>
      </c>
      <c r="O30" s="19" t="s">
        <v>37</v>
      </c>
      <c r="P30" s="19" t="s">
        <v>38</v>
      </c>
      <c r="Q30" s="19" t="str">
        <f t="shared" si="1"/>
        <v>HSK1-VOCAB-026</v>
      </c>
      <c r="R30" s="19" t="str">
        <f t="shared" si="2"/>
        <v>Chinese::HSK::HSK1::Vocabulary</v>
      </c>
      <c r="S30" s="20" t="s">
        <v>224</v>
      </c>
      <c r="T30" s="19" t="s">
        <v>40</v>
      </c>
    </row>
    <row r="31" ht="30.0" customHeight="1">
      <c r="A31" s="15" t="s">
        <v>314</v>
      </c>
      <c r="B31" s="16" t="s">
        <v>315</v>
      </c>
      <c r="C31" s="16" t="s">
        <v>316</v>
      </c>
      <c r="D31" s="16" t="s">
        <v>317</v>
      </c>
      <c r="E31" s="17" t="s">
        <v>318</v>
      </c>
      <c r="F31" s="18" t="s">
        <v>319</v>
      </c>
      <c r="G31" s="19" t="s">
        <v>320</v>
      </c>
      <c r="H31" s="19" t="s">
        <v>321</v>
      </c>
      <c r="I31" s="19" t="s">
        <v>322</v>
      </c>
      <c r="J31" s="19" t="s">
        <v>323</v>
      </c>
      <c r="K31" s="19" t="s">
        <v>324</v>
      </c>
      <c r="L31" s="19" t="s">
        <v>325</v>
      </c>
      <c r="M31" s="19" t="s">
        <v>35</v>
      </c>
      <c r="N31" s="19" t="s">
        <v>36</v>
      </c>
      <c r="O31" s="19" t="s">
        <v>37</v>
      </c>
      <c r="P31" s="19" t="s">
        <v>38</v>
      </c>
      <c r="Q31" s="19" t="str">
        <f t="shared" si="1"/>
        <v>HSK1-VOCAB-027</v>
      </c>
      <c r="R31" s="19" t="str">
        <f t="shared" si="2"/>
        <v>Chinese::HSK::HSK1::Vocabulary</v>
      </c>
      <c r="S31" s="20" t="s">
        <v>224</v>
      </c>
      <c r="T31" s="19" t="s">
        <v>40</v>
      </c>
    </row>
    <row r="32" ht="30.0" customHeight="1">
      <c r="A32" s="15" t="s">
        <v>326</v>
      </c>
      <c r="B32" s="16" t="s">
        <v>327</v>
      </c>
      <c r="C32" s="16" t="s">
        <v>328</v>
      </c>
      <c r="D32" s="16" t="s">
        <v>329</v>
      </c>
      <c r="E32" s="17" t="s">
        <v>27</v>
      </c>
      <c r="F32" s="18" t="s">
        <v>330</v>
      </c>
      <c r="G32" s="19" t="s">
        <v>331</v>
      </c>
      <c r="H32" s="19" t="s">
        <v>332</v>
      </c>
      <c r="I32" s="19" t="s">
        <v>333</v>
      </c>
      <c r="J32" s="19" t="s">
        <v>334</v>
      </c>
      <c r="K32" s="19" t="s">
        <v>335</v>
      </c>
      <c r="L32" s="19" t="s">
        <v>223</v>
      </c>
      <c r="M32" s="19" t="s">
        <v>35</v>
      </c>
      <c r="N32" s="19" t="s">
        <v>36</v>
      </c>
      <c r="O32" s="19" t="s">
        <v>37</v>
      </c>
      <c r="P32" s="19" t="s">
        <v>38</v>
      </c>
      <c r="Q32" s="19" t="str">
        <f t="shared" si="1"/>
        <v>HSK1-VOCAB-028</v>
      </c>
      <c r="R32" s="19" t="str">
        <f t="shared" si="2"/>
        <v>Chinese::HSK::HSK1::Vocabulary</v>
      </c>
      <c r="S32" s="20" t="s">
        <v>224</v>
      </c>
      <c r="T32" s="19" t="s">
        <v>40</v>
      </c>
    </row>
    <row r="33" ht="30.0" customHeight="1">
      <c r="A33" s="15" t="s">
        <v>336</v>
      </c>
      <c r="B33" s="16" t="s">
        <v>337</v>
      </c>
      <c r="C33" s="16" t="s">
        <v>338</v>
      </c>
      <c r="D33" s="16" t="s">
        <v>339</v>
      </c>
      <c r="E33" s="17" t="s">
        <v>27</v>
      </c>
      <c r="F33" s="18" t="s">
        <v>340</v>
      </c>
      <c r="G33" s="19" t="s">
        <v>341</v>
      </c>
      <c r="H33" s="19" t="s">
        <v>342</v>
      </c>
      <c r="I33" s="19" t="s">
        <v>343</v>
      </c>
      <c r="J33" s="19" t="s">
        <v>344</v>
      </c>
      <c r="K33" s="19" t="s">
        <v>345</v>
      </c>
      <c r="L33" s="19" t="s">
        <v>346</v>
      </c>
      <c r="M33" s="19" t="s">
        <v>35</v>
      </c>
      <c r="N33" s="19" t="s">
        <v>36</v>
      </c>
      <c r="O33" s="19" t="s">
        <v>37</v>
      </c>
      <c r="P33" s="19" t="s">
        <v>38</v>
      </c>
      <c r="Q33" s="19" t="str">
        <f t="shared" si="1"/>
        <v>HSK1-VOCAB-029</v>
      </c>
      <c r="R33" s="19" t="str">
        <f t="shared" si="2"/>
        <v>Chinese::HSK::HSK1::Vocabulary</v>
      </c>
      <c r="S33" s="20" t="s">
        <v>224</v>
      </c>
      <c r="T33" s="19" t="s">
        <v>40</v>
      </c>
    </row>
    <row r="34" ht="30.0" customHeight="1">
      <c r="A34" s="15" t="s">
        <v>347</v>
      </c>
      <c r="B34" s="16" t="s">
        <v>348</v>
      </c>
      <c r="C34" s="16" t="s">
        <v>349</v>
      </c>
      <c r="D34" s="16" t="s">
        <v>350</v>
      </c>
      <c r="E34" s="17" t="s">
        <v>240</v>
      </c>
      <c r="F34" s="18" t="s">
        <v>351</v>
      </c>
      <c r="G34" s="19" t="s">
        <v>352</v>
      </c>
      <c r="H34" s="19" t="s">
        <v>353</v>
      </c>
      <c r="I34" s="19" t="s">
        <v>354</v>
      </c>
      <c r="J34" s="19" t="s">
        <v>355</v>
      </c>
      <c r="K34" s="19" t="s">
        <v>356</v>
      </c>
      <c r="L34" s="19" t="s">
        <v>357</v>
      </c>
      <c r="M34" s="19" t="s">
        <v>35</v>
      </c>
      <c r="N34" s="19" t="s">
        <v>36</v>
      </c>
      <c r="O34" s="19" t="s">
        <v>37</v>
      </c>
      <c r="P34" s="19" t="s">
        <v>38</v>
      </c>
      <c r="Q34" s="19" t="str">
        <f t="shared" si="1"/>
        <v>HSK1-VOCAB-030</v>
      </c>
      <c r="R34" s="19" t="str">
        <f t="shared" si="2"/>
        <v>Chinese::HSK::HSK1::Vocabulary</v>
      </c>
      <c r="S34" s="20" t="s">
        <v>224</v>
      </c>
      <c r="T34" s="19" t="s">
        <v>40</v>
      </c>
    </row>
    <row r="35" ht="30.0" customHeight="1">
      <c r="A35" s="15" t="s">
        <v>358</v>
      </c>
      <c r="B35" s="16" t="s">
        <v>359</v>
      </c>
      <c r="C35" s="16" t="s">
        <v>360</v>
      </c>
      <c r="D35" s="16" t="s">
        <v>361</v>
      </c>
      <c r="E35" s="17" t="s">
        <v>27</v>
      </c>
      <c r="F35" s="18" t="s">
        <v>362</v>
      </c>
      <c r="G35" s="19" t="s">
        <v>363</v>
      </c>
      <c r="H35" s="19" t="s">
        <v>364</v>
      </c>
      <c r="I35" s="19" t="s">
        <v>365</v>
      </c>
      <c r="J35" s="19" t="s">
        <v>366</v>
      </c>
      <c r="K35" s="19" t="s">
        <v>367</v>
      </c>
      <c r="L35" s="19" t="s">
        <v>368</v>
      </c>
      <c r="M35" s="19" t="s">
        <v>35</v>
      </c>
      <c r="N35" s="19" t="s">
        <v>36</v>
      </c>
      <c r="O35" s="19" t="s">
        <v>37</v>
      </c>
      <c r="P35" s="19" t="s">
        <v>38</v>
      </c>
      <c r="Q35" s="19" t="str">
        <f t="shared" si="1"/>
        <v>HSK1-VOCAB-031</v>
      </c>
      <c r="R35" s="19" t="str">
        <f t="shared" si="2"/>
        <v>Chinese::HSK::HSK1::Vocabulary</v>
      </c>
      <c r="S35" s="20" t="s">
        <v>224</v>
      </c>
      <c r="T35" s="19" t="s">
        <v>40</v>
      </c>
    </row>
    <row r="36" ht="30.0" customHeight="1">
      <c r="A36" s="15" t="s">
        <v>369</v>
      </c>
      <c r="B36" s="16" t="s">
        <v>370</v>
      </c>
      <c r="C36" s="16" t="s">
        <v>371</v>
      </c>
      <c r="D36" s="16" t="s">
        <v>372</v>
      </c>
      <c r="E36" s="17" t="s">
        <v>27</v>
      </c>
      <c r="F36" s="18" t="s">
        <v>373</v>
      </c>
      <c r="G36" s="19" t="s">
        <v>374</v>
      </c>
      <c r="H36" s="19" t="s">
        <v>375</v>
      </c>
      <c r="I36" s="19" t="s">
        <v>376</v>
      </c>
      <c r="J36" s="19" t="s">
        <v>377</v>
      </c>
      <c r="K36" s="19" t="s">
        <v>378</v>
      </c>
      <c r="L36" s="19" t="s">
        <v>379</v>
      </c>
      <c r="M36" s="19" t="s">
        <v>35</v>
      </c>
      <c r="N36" s="19" t="s">
        <v>36</v>
      </c>
      <c r="O36" s="19" t="s">
        <v>37</v>
      </c>
      <c r="P36" s="19" t="s">
        <v>38</v>
      </c>
      <c r="Q36" s="19" t="str">
        <f t="shared" si="1"/>
        <v>HSK1-VOCAB-032</v>
      </c>
      <c r="R36" s="19" t="str">
        <f t="shared" si="2"/>
        <v>Chinese::HSK::HSK1::Vocabulary</v>
      </c>
      <c r="S36" s="20" t="s">
        <v>224</v>
      </c>
      <c r="T36" s="19" t="s">
        <v>40</v>
      </c>
    </row>
    <row r="37" ht="30.0" customHeight="1">
      <c r="A37" s="15" t="s">
        <v>380</v>
      </c>
      <c r="B37" s="16" t="s">
        <v>381</v>
      </c>
      <c r="C37" s="16" t="s">
        <v>382</v>
      </c>
      <c r="D37" s="16" t="s">
        <v>383</v>
      </c>
      <c r="E37" s="17" t="s">
        <v>27</v>
      </c>
      <c r="F37" s="18" t="s">
        <v>384</v>
      </c>
      <c r="G37" s="19" t="s">
        <v>385</v>
      </c>
      <c r="H37" s="19" t="s">
        <v>386</v>
      </c>
      <c r="I37" s="19" t="s">
        <v>387</v>
      </c>
      <c r="J37" s="19" t="s">
        <v>388</v>
      </c>
      <c r="K37" s="19" t="s">
        <v>389</v>
      </c>
      <c r="L37" s="19" t="s">
        <v>390</v>
      </c>
      <c r="M37" s="19" t="s">
        <v>35</v>
      </c>
      <c r="N37" s="19" t="s">
        <v>36</v>
      </c>
      <c r="O37" s="19" t="s">
        <v>37</v>
      </c>
      <c r="P37" s="19" t="s">
        <v>38</v>
      </c>
      <c r="Q37" s="19" t="str">
        <f t="shared" si="1"/>
        <v>HSK1-VOCAB-033</v>
      </c>
      <c r="R37" s="19" t="str">
        <f t="shared" si="2"/>
        <v>Chinese::HSK::HSK1::Vocabulary</v>
      </c>
      <c r="S37" s="20" t="s">
        <v>224</v>
      </c>
      <c r="T37" s="19" t="s">
        <v>40</v>
      </c>
    </row>
    <row r="38" ht="30.0" customHeight="1">
      <c r="A38" s="15" t="s">
        <v>391</v>
      </c>
      <c r="B38" s="16" t="s">
        <v>392</v>
      </c>
      <c r="C38" s="16" t="s">
        <v>393</v>
      </c>
      <c r="D38" s="16" t="s">
        <v>394</v>
      </c>
      <c r="E38" s="17" t="s">
        <v>27</v>
      </c>
      <c r="F38" s="18" t="s">
        <v>395</v>
      </c>
      <c r="G38" s="19" t="s">
        <v>396</v>
      </c>
      <c r="H38" s="19" t="s">
        <v>397</v>
      </c>
      <c r="I38" s="19" t="s">
        <v>398</v>
      </c>
      <c r="J38" s="19" t="s">
        <v>399</v>
      </c>
      <c r="K38" s="19" t="s">
        <v>400</v>
      </c>
      <c r="L38" s="19" t="s">
        <v>401</v>
      </c>
      <c r="M38" s="19" t="s">
        <v>35</v>
      </c>
      <c r="N38" s="19" t="s">
        <v>36</v>
      </c>
      <c r="O38" s="19" t="s">
        <v>37</v>
      </c>
      <c r="P38" s="19" t="s">
        <v>38</v>
      </c>
      <c r="Q38" s="19" t="str">
        <f t="shared" si="1"/>
        <v>HSK1-VOCAB-034</v>
      </c>
      <c r="R38" s="19" t="str">
        <f t="shared" si="2"/>
        <v>Chinese::HSK::HSK1::Vocabulary</v>
      </c>
      <c r="S38" s="20" t="s">
        <v>224</v>
      </c>
      <c r="T38" s="19" t="s">
        <v>40</v>
      </c>
    </row>
    <row r="39" ht="30.0" customHeight="1">
      <c r="A39" s="15" t="s">
        <v>402</v>
      </c>
      <c r="B39" s="16" t="s">
        <v>403</v>
      </c>
      <c r="C39" s="16" t="s">
        <v>404</v>
      </c>
      <c r="D39" s="16" t="s">
        <v>405</v>
      </c>
      <c r="E39" s="17" t="s">
        <v>27</v>
      </c>
      <c r="F39" s="18" t="s">
        <v>406</v>
      </c>
      <c r="G39" s="19" t="s">
        <v>407</v>
      </c>
      <c r="H39" s="19" t="s">
        <v>408</v>
      </c>
      <c r="I39" s="19" t="s">
        <v>409</v>
      </c>
      <c r="J39" s="19" t="s">
        <v>410</v>
      </c>
      <c r="K39" s="19" t="s">
        <v>411</v>
      </c>
      <c r="L39" s="19" t="s">
        <v>412</v>
      </c>
      <c r="M39" s="19" t="s">
        <v>35</v>
      </c>
      <c r="N39" s="19" t="s">
        <v>36</v>
      </c>
      <c r="O39" s="19" t="s">
        <v>37</v>
      </c>
      <c r="P39" s="19" t="s">
        <v>38</v>
      </c>
      <c r="Q39" s="19" t="str">
        <f t="shared" si="1"/>
        <v>HSK1-VOCAB-035</v>
      </c>
      <c r="R39" s="19" t="str">
        <f t="shared" si="2"/>
        <v>Chinese::HSK::HSK1::Vocabulary</v>
      </c>
      <c r="S39" s="20" t="s">
        <v>224</v>
      </c>
      <c r="T39" s="19" t="s">
        <v>40</v>
      </c>
    </row>
    <row r="40" ht="30.0" customHeight="1">
      <c r="A40" s="15" t="s">
        <v>413</v>
      </c>
      <c r="B40" s="16" t="s">
        <v>414</v>
      </c>
      <c r="C40" s="16" t="s">
        <v>415</v>
      </c>
      <c r="D40" s="16" t="s">
        <v>416</v>
      </c>
      <c r="E40" s="17" t="s">
        <v>27</v>
      </c>
      <c r="F40" s="18" t="s">
        <v>417</v>
      </c>
      <c r="G40" s="19" t="s">
        <v>418</v>
      </c>
      <c r="H40" s="19" t="s">
        <v>419</v>
      </c>
      <c r="I40" s="19" t="s">
        <v>420</v>
      </c>
      <c r="J40" s="19" t="s">
        <v>421</v>
      </c>
      <c r="K40" s="19" t="s">
        <v>422</v>
      </c>
      <c r="L40" s="19" t="s">
        <v>423</v>
      </c>
      <c r="M40" s="19" t="s">
        <v>35</v>
      </c>
      <c r="N40" s="19" t="s">
        <v>36</v>
      </c>
      <c r="O40" s="19" t="s">
        <v>37</v>
      </c>
      <c r="P40" s="19" t="s">
        <v>38</v>
      </c>
      <c r="Q40" s="19" t="str">
        <f t="shared" si="1"/>
        <v>HSK1-VOCAB-036</v>
      </c>
      <c r="R40" s="19" t="str">
        <f t="shared" si="2"/>
        <v>Chinese::HSK::HSK1::Vocabulary</v>
      </c>
      <c r="S40" s="20" t="s">
        <v>224</v>
      </c>
      <c r="T40" s="19" t="s">
        <v>40</v>
      </c>
    </row>
    <row r="41" ht="30.0" customHeight="1">
      <c r="A41" s="15" t="s">
        <v>424</v>
      </c>
      <c r="B41" s="16" t="s">
        <v>425</v>
      </c>
      <c r="C41" s="16" t="s">
        <v>426</v>
      </c>
      <c r="D41" s="16" t="s">
        <v>427</v>
      </c>
      <c r="E41" s="17" t="s">
        <v>27</v>
      </c>
      <c r="F41" s="18" t="s">
        <v>428</v>
      </c>
      <c r="G41" s="19" t="s">
        <v>429</v>
      </c>
      <c r="H41" s="19" t="s">
        <v>430</v>
      </c>
      <c r="I41" s="19" t="s">
        <v>431</v>
      </c>
      <c r="J41" s="19" t="s">
        <v>432</v>
      </c>
      <c r="K41" s="19" t="s">
        <v>433</v>
      </c>
      <c r="L41" s="19" t="s">
        <v>434</v>
      </c>
      <c r="M41" s="19" t="s">
        <v>35</v>
      </c>
      <c r="N41" s="19" t="s">
        <v>36</v>
      </c>
      <c r="O41" s="19" t="s">
        <v>37</v>
      </c>
      <c r="P41" s="19" t="s">
        <v>38</v>
      </c>
      <c r="Q41" s="19" t="str">
        <f t="shared" si="1"/>
        <v>HSK1-VOCAB-037</v>
      </c>
      <c r="R41" s="19" t="str">
        <f t="shared" si="2"/>
        <v>Chinese::HSK::HSK1::Vocabulary</v>
      </c>
      <c r="S41" s="20" t="s">
        <v>224</v>
      </c>
      <c r="T41" s="19" t="s">
        <v>40</v>
      </c>
    </row>
    <row r="42" ht="30.0" customHeight="1">
      <c r="A42" s="15" t="s">
        <v>435</v>
      </c>
      <c r="B42" s="16" t="s">
        <v>436</v>
      </c>
      <c r="C42" s="16" t="s">
        <v>437</v>
      </c>
      <c r="D42" s="16" t="s">
        <v>438</v>
      </c>
      <c r="E42" s="17" t="s">
        <v>27</v>
      </c>
      <c r="F42" s="18" t="s">
        <v>439</v>
      </c>
      <c r="G42" s="19" t="s">
        <v>440</v>
      </c>
      <c r="H42" s="19" t="s">
        <v>441</v>
      </c>
      <c r="I42" s="19" t="s">
        <v>442</v>
      </c>
      <c r="J42" s="19" t="s">
        <v>443</v>
      </c>
      <c r="K42" s="19" t="s">
        <v>444</v>
      </c>
      <c r="L42" s="19" t="s">
        <v>445</v>
      </c>
      <c r="M42" s="19" t="s">
        <v>35</v>
      </c>
      <c r="N42" s="19" t="s">
        <v>36</v>
      </c>
      <c r="O42" s="19" t="s">
        <v>37</v>
      </c>
      <c r="P42" s="19" t="s">
        <v>38</v>
      </c>
      <c r="Q42" s="19" t="str">
        <f t="shared" si="1"/>
        <v>HSK1-VOCAB-038</v>
      </c>
      <c r="R42" s="19" t="str">
        <f t="shared" si="2"/>
        <v>Chinese::HSK::HSK1::Vocabulary</v>
      </c>
      <c r="S42" s="20" t="s">
        <v>224</v>
      </c>
      <c r="T42" s="19" t="s">
        <v>40</v>
      </c>
    </row>
    <row r="43" ht="30.0" customHeight="1">
      <c r="A43" s="15" t="s">
        <v>446</v>
      </c>
      <c r="B43" s="16" t="s">
        <v>447</v>
      </c>
      <c r="C43" s="16" t="s">
        <v>448</v>
      </c>
      <c r="D43" s="16" t="s">
        <v>449</v>
      </c>
      <c r="E43" s="17" t="s">
        <v>318</v>
      </c>
      <c r="F43" s="18" t="s">
        <v>450</v>
      </c>
      <c r="G43" s="19" t="s">
        <v>451</v>
      </c>
      <c r="H43" s="19" t="s">
        <v>452</v>
      </c>
      <c r="I43" s="19" t="s">
        <v>453</v>
      </c>
      <c r="J43" s="19" t="s">
        <v>454</v>
      </c>
      <c r="K43" s="19" t="s">
        <v>455</v>
      </c>
      <c r="L43" s="19" t="s">
        <v>456</v>
      </c>
      <c r="M43" s="19" t="s">
        <v>35</v>
      </c>
      <c r="N43" s="19" t="s">
        <v>36</v>
      </c>
      <c r="O43" s="19" t="s">
        <v>37</v>
      </c>
      <c r="P43" s="19" t="s">
        <v>38</v>
      </c>
      <c r="Q43" s="19" t="str">
        <f t="shared" si="1"/>
        <v>HSK1-VOCAB-039</v>
      </c>
      <c r="R43" s="19" t="str">
        <f t="shared" si="2"/>
        <v>Chinese::HSK::HSK1::Vocabulary</v>
      </c>
      <c r="S43" s="20" t="s">
        <v>224</v>
      </c>
      <c r="T43" s="19" t="s">
        <v>40</v>
      </c>
    </row>
    <row r="44" ht="30.0" customHeight="1">
      <c r="A44" s="15" t="s">
        <v>457</v>
      </c>
      <c r="B44" s="16" t="s">
        <v>458</v>
      </c>
      <c r="C44" s="16" t="s">
        <v>459</v>
      </c>
      <c r="D44" s="16" t="s">
        <v>460</v>
      </c>
      <c r="E44" s="17" t="s">
        <v>27</v>
      </c>
      <c r="F44" s="18" t="s">
        <v>461</v>
      </c>
      <c r="G44" s="19" t="s">
        <v>462</v>
      </c>
      <c r="H44" s="19" t="s">
        <v>463</v>
      </c>
      <c r="I44" s="19" t="s">
        <v>464</v>
      </c>
      <c r="J44" s="19" t="s">
        <v>465</v>
      </c>
      <c r="K44" s="19" t="s">
        <v>466</v>
      </c>
      <c r="L44" s="19" t="s">
        <v>467</v>
      </c>
      <c r="M44" s="19" t="s">
        <v>35</v>
      </c>
      <c r="N44" s="19" t="s">
        <v>36</v>
      </c>
      <c r="O44" s="19" t="s">
        <v>37</v>
      </c>
      <c r="P44" s="19" t="s">
        <v>38</v>
      </c>
      <c r="Q44" s="19" t="str">
        <f t="shared" si="1"/>
        <v>HSK1-VOCAB-040</v>
      </c>
      <c r="R44" s="19" t="str">
        <f t="shared" si="2"/>
        <v>Chinese::HSK::HSK1::Vocabulary</v>
      </c>
      <c r="S44" s="20" t="s">
        <v>224</v>
      </c>
      <c r="T44" s="19" t="s">
        <v>40</v>
      </c>
    </row>
    <row r="45" ht="30.0" customHeight="1">
      <c r="A45" s="15" t="s">
        <v>468</v>
      </c>
      <c r="B45" s="16" t="s">
        <v>469</v>
      </c>
      <c r="C45" s="16" t="s">
        <v>470</v>
      </c>
      <c r="D45" s="16" t="s">
        <v>471</v>
      </c>
      <c r="E45" s="17" t="s">
        <v>27</v>
      </c>
      <c r="F45" s="18" t="s">
        <v>472</v>
      </c>
      <c r="G45" s="19" t="s">
        <v>418</v>
      </c>
      <c r="H45" s="19" t="s">
        <v>473</v>
      </c>
      <c r="I45" s="19" t="s">
        <v>474</v>
      </c>
      <c r="J45" s="19" t="s">
        <v>475</v>
      </c>
      <c r="K45" s="19" t="s">
        <v>476</v>
      </c>
      <c r="L45" s="19" t="s">
        <v>477</v>
      </c>
      <c r="M45" s="19" t="s">
        <v>35</v>
      </c>
      <c r="N45" s="19" t="s">
        <v>36</v>
      </c>
      <c r="O45" s="19" t="s">
        <v>37</v>
      </c>
      <c r="P45" s="19" t="s">
        <v>38</v>
      </c>
      <c r="Q45" s="19" t="str">
        <f t="shared" si="1"/>
        <v>HSK1-VOCAB-041</v>
      </c>
      <c r="R45" s="19" t="str">
        <f t="shared" si="2"/>
        <v>Chinese::HSK::HSK1::Vocabulary</v>
      </c>
      <c r="S45" s="20" t="s">
        <v>224</v>
      </c>
      <c r="T45" s="19" t="s">
        <v>40</v>
      </c>
    </row>
    <row r="46" ht="30.0" customHeight="1">
      <c r="A46" s="15" t="s">
        <v>478</v>
      </c>
      <c r="B46" s="16" t="s">
        <v>479</v>
      </c>
      <c r="C46" s="16" t="s">
        <v>480</v>
      </c>
      <c r="D46" s="16" t="s">
        <v>481</v>
      </c>
      <c r="E46" s="17" t="s">
        <v>27</v>
      </c>
      <c r="F46" s="18" t="s">
        <v>482</v>
      </c>
      <c r="G46" s="19" t="s">
        <v>483</v>
      </c>
      <c r="H46" s="19" t="s">
        <v>484</v>
      </c>
      <c r="I46" s="19" t="s">
        <v>485</v>
      </c>
      <c r="J46" s="19" t="s">
        <v>486</v>
      </c>
      <c r="K46" s="19" t="s">
        <v>487</v>
      </c>
      <c r="L46" s="19" t="s">
        <v>488</v>
      </c>
      <c r="M46" s="19" t="s">
        <v>35</v>
      </c>
      <c r="N46" s="19" t="s">
        <v>36</v>
      </c>
      <c r="O46" s="19" t="s">
        <v>37</v>
      </c>
      <c r="P46" s="19" t="s">
        <v>38</v>
      </c>
      <c r="Q46" s="19" t="str">
        <f t="shared" si="1"/>
        <v>HSK1-VOCAB-042</v>
      </c>
      <c r="R46" s="19" t="str">
        <f t="shared" si="2"/>
        <v>Chinese::HSK::HSK1::Vocabulary</v>
      </c>
      <c r="S46" s="20" t="s">
        <v>224</v>
      </c>
      <c r="T46" s="19" t="s">
        <v>40</v>
      </c>
    </row>
    <row r="47" ht="30.0" customHeight="1">
      <c r="A47" s="15" t="s">
        <v>489</v>
      </c>
      <c r="B47" s="16" t="s">
        <v>490</v>
      </c>
      <c r="C47" s="16" t="s">
        <v>491</v>
      </c>
      <c r="D47" s="16" t="s">
        <v>492</v>
      </c>
      <c r="E47" s="17" t="s">
        <v>27</v>
      </c>
      <c r="F47" s="22" t="s">
        <v>493</v>
      </c>
      <c r="G47" s="23" t="s">
        <v>385</v>
      </c>
      <c r="H47" s="23" t="s">
        <v>494</v>
      </c>
      <c r="I47" s="23" t="s">
        <v>495</v>
      </c>
      <c r="J47" s="23" t="s">
        <v>496</v>
      </c>
      <c r="K47" s="23" t="s">
        <v>497</v>
      </c>
      <c r="L47" s="23" t="s">
        <v>498</v>
      </c>
      <c r="M47" s="23" t="s">
        <v>35</v>
      </c>
      <c r="N47" s="23" t="s">
        <v>36</v>
      </c>
      <c r="O47" s="23" t="s">
        <v>37</v>
      </c>
      <c r="P47" s="23" t="s">
        <v>38</v>
      </c>
      <c r="Q47" s="19" t="str">
        <f t="shared" si="1"/>
        <v>HSK1-VOCAB-043</v>
      </c>
      <c r="R47" s="19" t="str">
        <f t="shared" si="2"/>
        <v>Chinese::HSK::HSK1::Vocabulary</v>
      </c>
      <c r="S47" s="26" t="s">
        <v>224</v>
      </c>
      <c r="T47" s="23" t="s">
        <v>40</v>
      </c>
    </row>
    <row r="48" ht="30.0" customHeight="1">
      <c r="A48" s="15" t="s">
        <v>499</v>
      </c>
      <c r="B48" s="16" t="s">
        <v>500</v>
      </c>
      <c r="C48" s="16" t="s">
        <v>501</v>
      </c>
      <c r="D48" s="16" t="s">
        <v>502</v>
      </c>
      <c r="E48" s="17" t="s">
        <v>27</v>
      </c>
      <c r="F48" s="18" t="s">
        <v>503</v>
      </c>
      <c r="G48" s="19" t="s">
        <v>275</v>
      </c>
      <c r="H48" s="19" t="s">
        <v>504</v>
      </c>
      <c r="I48" s="19" t="s">
        <v>505</v>
      </c>
      <c r="J48" s="19" t="s">
        <v>506</v>
      </c>
      <c r="K48" s="19" t="s">
        <v>507</v>
      </c>
      <c r="L48" s="19" t="s">
        <v>508</v>
      </c>
      <c r="M48" s="19" t="s">
        <v>35</v>
      </c>
      <c r="N48" s="19" t="s">
        <v>36</v>
      </c>
      <c r="O48" s="19" t="s">
        <v>37</v>
      </c>
      <c r="P48" s="19" t="s">
        <v>38</v>
      </c>
      <c r="Q48" s="19" t="str">
        <f t="shared" si="1"/>
        <v>HSK1-VOCAB-044</v>
      </c>
      <c r="R48" s="19" t="str">
        <f t="shared" si="2"/>
        <v>Chinese::HSK::HSK1::Vocabulary</v>
      </c>
      <c r="S48" s="20" t="s">
        <v>224</v>
      </c>
      <c r="T48" s="19" t="s">
        <v>40</v>
      </c>
    </row>
    <row r="49" ht="30.0" customHeight="1">
      <c r="A49" s="15" t="s">
        <v>509</v>
      </c>
      <c r="B49" s="16" t="s">
        <v>510</v>
      </c>
      <c r="C49" s="16" t="s">
        <v>511</v>
      </c>
      <c r="D49" s="16" t="s">
        <v>512</v>
      </c>
      <c r="E49" s="17" t="s">
        <v>513</v>
      </c>
      <c r="F49" s="18" t="s">
        <v>514</v>
      </c>
      <c r="G49" s="19" t="s">
        <v>515</v>
      </c>
      <c r="H49" s="19" t="s">
        <v>516</v>
      </c>
      <c r="I49" s="19" t="s">
        <v>517</v>
      </c>
      <c r="J49" s="19" t="s">
        <v>518</v>
      </c>
      <c r="K49" s="19" t="s">
        <v>519</v>
      </c>
      <c r="L49" s="19" t="s">
        <v>520</v>
      </c>
      <c r="M49" s="19" t="s">
        <v>35</v>
      </c>
      <c r="N49" s="19" t="s">
        <v>36</v>
      </c>
      <c r="O49" s="19" t="s">
        <v>37</v>
      </c>
      <c r="P49" s="19" t="s">
        <v>38</v>
      </c>
      <c r="Q49" s="19" t="str">
        <f t="shared" si="1"/>
        <v>HSK1-VOCAB-045</v>
      </c>
      <c r="R49" s="19" t="str">
        <f t="shared" si="2"/>
        <v>Chinese::HSK::HSK1::Vocabulary</v>
      </c>
      <c r="S49" s="20" t="s">
        <v>224</v>
      </c>
      <c r="T49" s="19" t="s">
        <v>40</v>
      </c>
    </row>
    <row r="50" ht="30.0" customHeight="1">
      <c r="A50" s="15" t="s">
        <v>521</v>
      </c>
      <c r="B50" s="16" t="s">
        <v>522</v>
      </c>
      <c r="C50" s="16" t="s">
        <v>523</v>
      </c>
      <c r="D50" s="16" t="s">
        <v>524</v>
      </c>
      <c r="E50" s="17" t="s">
        <v>27</v>
      </c>
      <c r="F50" s="18" t="s">
        <v>525</v>
      </c>
      <c r="G50" s="19" t="s">
        <v>526</v>
      </c>
      <c r="H50" s="19" t="s">
        <v>527</v>
      </c>
      <c r="I50" s="19" t="s">
        <v>528</v>
      </c>
      <c r="J50" s="19" t="s">
        <v>529</v>
      </c>
      <c r="K50" s="19" t="s">
        <v>530</v>
      </c>
      <c r="L50" s="19" t="s">
        <v>531</v>
      </c>
      <c r="M50" s="19" t="s">
        <v>35</v>
      </c>
      <c r="N50" s="19" t="s">
        <v>36</v>
      </c>
      <c r="O50" s="19" t="s">
        <v>37</v>
      </c>
      <c r="P50" s="19" t="s">
        <v>38</v>
      </c>
      <c r="Q50" s="19" t="str">
        <f t="shared" si="1"/>
        <v>HSK1-VOCAB-046</v>
      </c>
      <c r="R50" s="19" t="str">
        <f t="shared" si="2"/>
        <v>Chinese::HSK::HSK1::Vocabulary</v>
      </c>
      <c r="S50" s="20" t="s">
        <v>224</v>
      </c>
      <c r="T50" s="19" t="s">
        <v>40</v>
      </c>
    </row>
    <row r="51" ht="30.0" customHeight="1">
      <c r="A51" s="15" t="s">
        <v>532</v>
      </c>
      <c r="B51" s="16" t="s">
        <v>533</v>
      </c>
      <c r="C51" s="16" t="s">
        <v>534</v>
      </c>
      <c r="D51" s="16" t="s">
        <v>535</v>
      </c>
      <c r="E51" s="17" t="s">
        <v>27</v>
      </c>
      <c r="F51" s="22" t="s">
        <v>536</v>
      </c>
      <c r="G51" s="23" t="s">
        <v>537</v>
      </c>
      <c r="H51" s="23" t="s">
        <v>538</v>
      </c>
      <c r="I51" s="23" t="s">
        <v>539</v>
      </c>
      <c r="J51" s="23" t="s">
        <v>540</v>
      </c>
      <c r="K51" s="23" t="s">
        <v>541</v>
      </c>
      <c r="L51" s="23" t="s">
        <v>531</v>
      </c>
      <c r="M51" s="23" t="s">
        <v>35</v>
      </c>
      <c r="N51" s="23" t="s">
        <v>36</v>
      </c>
      <c r="O51" s="23" t="s">
        <v>37</v>
      </c>
      <c r="P51" s="23" t="s">
        <v>38</v>
      </c>
      <c r="Q51" s="19" t="str">
        <f t="shared" si="1"/>
        <v>HSK1-VOCAB-047</v>
      </c>
      <c r="R51" s="19" t="str">
        <f t="shared" si="2"/>
        <v>Chinese::HSK::HSK1::Vocabulary</v>
      </c>
      <c r="S51" s="26" t="s">
        <v>224</v>
      </c>
      <c r="T51" s="23" t="s">
        <v>40</v>
      </c>
    </row>
    <row r="52" ht="30.0" customHeight="1">
      <c r="A52" s="15" t="s">
        <v>542</v>
      </c>
      <c r="B52" s="16" t="s">
        <v>543</v>
      </c>
      <c r="C52" s="16" t="s">
        <v>544</v>
      </c>
      <c r="D52" s="16" t="s">
        <v>545</v>
      </c>
      <c r="E52" s="17" t="s">
        <v>27</v>
      </c>
      <c r="F52" s="18" t="s">
        <v>546</v>
      </c>
      <c r="G52" s="19" t="s">
        <v>547</v>
      </c>
      <c r="H52" s="19" t="s">
        <v>548</v>
      </c>
      <c r="I52" s="19" t="s">
        <v>549</v>
      </c>
      <c r="J52" s="19" t="s">
        <v>550</v>
      </c>
      <c r="K52" s="19" t="s">
        <v>551</v>
      </c>
      <c r="L52" s="19" t="s">
        <v>552</v>
      </c>
      <c r="M52" s="19" t="s">
        <v>35</v>
      </c>
      <c r="N52" s="19" t="s">
        <v>36</v>
      </c>
      <c r="O52" s="19" t="s">
        <v>37</v>
      </c>
      <c r="P52" s="19" t="s">
        <v>38</v>
      </c>
      <c r="Q52" s="19" t="str">
        <f t="shared" si="1"/>
        <v>HSK1-VOCAB-048</v>
      </c>
      <c r="R52" s="19" t="str">
        <f t="shared" si="2"/>
        <v>Chinese::HSK::HSK1::Vocabulary</v>
      </c>
      <c r="S52" s="20" t="s">
        <v>224</v>
      </c>
      <c r="T52" s="19" t="s">
        <v>40</v>
      </c>
    </row>
    <row r="53" ht="30.0" customHeight="1">
      <c r="A53" s="15" t="s">
        <v>553</v>
      </c>
      <c r="B53" s="16" t="s">
        <v>554</v>
      </c>
      <c r="C53" s="16" t="s">
        <v>555</v>
      </c>
      <c r="D53" s="16" t="s">
        <v>556</v>
      </c>
      <c r="E53" s="17" t="s">
        <v>513</v>
      </c>
      <c r="F53" s="18" t="s">
        <v>557</v>
      </c>
      <c r="G53" s="19" t="s">
        <v>558</v>
      </c>
      <c r="H53" s="19" t="s">
        <v>559</v>
      </c>
      <c r="I53" s="19" t="s">
        <v>560</v>
      </c>
      <c r="J53" s="19" t="s">
        <v>561</v>
      </c>
      <c r="K53" s="19" t="s">
        <v>562</v>
      </c>
      <c r="L53" s="19" t="s">
        <v>563</v>
      </c>
      <c r="M53" s="19" t="s">
        <v>35</v>
      </c>
      <c r="N53" s="19" t="s">
        <v>36</v>
      </c>
      <c r="O53" s="19" t="s">
        <v>37</v>
      </c>
      <c r="P53" s="19" t="s">
        <v>38</v>
      </c>
      <c r="Q53" s="19" t="str">
        <f t="shared" si="1"/>
        <v>HSK1-VOCAB-049</v>
      </c>
      <c r="R53" s="19" t="str">
        <f t="shared" si="2"/>
        <v>Chinese::HSK::HSK1::Vocabulary</v>
      </c>
      <c r="S53" s="20" t="s">
        <v>224</v>
      </c>
      <c r="T53" s="19" t="s">
        <v>40</v>
      </c>
    </row>
    <row r="54" ht="30.0" customHeight="1">
      <c r="A54" s="15" t="s">
        <v>564</v>
      </c>
      <c r="B54" s="16" t="s">
        <v>565</v>
      </c>
      <c r="C54" s="16" t="s">
        <v>566</v>
      </c>
      <c r="D54" s="16" t="s">
        <v>567</v>
      </c>
      <c r="E54" s="17" t="s">
        <v>27</v>
      </c>
      <c r="F54" s="18" t="s">
        <v>568</v>
      </c>
      <c r="G54" s="19" t="s">
        <v>569</v>
      </c>
      <c r="H54" s="19" t="s">
        <v>570</v>
      </c>
      <c r="I54" s="19" t="s">
        <v>571</v>
      </c>
      <c r="J54" s="19" t="s">
        <v>572</v>
      </c>
      <c r="K54" s="19" t="s">
        <v>573</v>
      </c>
      <c r="L54" s="19" t="s">
        <v>574</v>
      </c>
      <c r="M54" s="19" t="s">
        <v>35</v>
      </c>
      <c r="N54" s="19" t="s">
        <v>36</v>
      </c>
      <c r="O54" s="19" t="s">
        <v>37</v>
      </c>
      <c r="P54" s="19" t="s">
        <v>38</v>
      </c>
      <c r="Q54" s="19" t="str">
        <f t="shared" si="1"/>
        <v>HSK1-VOCAB-050</v>
      </c>
      <c r="R54" s="19" t="str">
        <f t="shared" si="2"/>
        <v>Chinese::HSK::HSK1::Vocabulary</v>
      </c>
      <c r="S54" s="20" t="s">
        <v>224</v>
      </c>
      <c r="T54" s="19" t="s">
        <v>40</v>
      </c>
    </row>
    <row r="55" ht="30.0" customHeight="1">
      <c r="A55" s="15" t="s">
        <v>575</v>
      </c>
      <c r="B55" s="16" t="s">
        <v>576</v>
      </c>
      <c r="C55" s="16" t="s">
        <v>577</v>
      </c>
      <c r="D55" s="16" t="s">
        <v>578</v>
      </c>
      <c r="E55" s="17" t="s">
        <v>27</v>
      </c>
      <c r="F55" s="18" t="s">
        <v>579</v>
      </c>
      <c r="G55" s="19" t="s">
        <v>580</v>
      </c>
      <c r="H55" s="19" t="s">
        <v>581</v>
      </c>
      <c r="I55" s="19" t="s">
        <v>582</v>
      </c>
      <c r="J55" s="19" t="s">
        <v>583</v>
      </c>
      <c r="K55" s="19" t="s">
        <v>584</v>
      </c>
      <c r="L55" s="19" t="s">
        <v>585</v>
      </c>
      <c r="M55" s="19" t="s">
        <v>35</v>
      </c>
      <c r="N55" s="19" t="s">
        <v>36</v>
      </c>
      <c r="O55" s="19" t="s">
        <v>37</v>
      </c>
      <c r="P55" s="19" t="s">
        <v>38</v>
      </c>
      <c r="Q55" s="19" t="str">
        <f t="shared" si="1"/>
        <v>HSK1-VOCAB-051</v>
      </c>
      <c r="R55" s="19" t="str">
        <f t="shared" si="2"/>
        <v>Chinese::HSK::HSK1::Vocabulary</v>
      </c>
      <c r="S55" s="20" t="s">
        <v>224</v>
      </c>
      <c r="T55" s="19" t="s">
        <v>40</v>
      </c>
    </row>
    <row r="56" ht="57.75" customHeight="1">
      <c r="A56" s="15" t="s">
        <v>586</v>
      </c>
      <c r="B56" s="16" t="s">
        <v>576</v>
      </c>
      <c r="C56" s="16" t="s">
        <v>587</v>
      </c>
      <c r="D56" s="16" t="s">
        <v>588</v>
      </c>
      <c r="E56" s="17" t="s">
        <v>27</v>
      </c>
      <c r="F56" s="18" t="s">
        <v>589</v>
      </c>
      <c r="G56" s="19" t="s">
        <v>590</v>
      </c>
      <c r="H56" s="19" t="s">
        <v>591</v>
      </c>
      <c r="I56" s="19" t="s">
        <v>592</v>
      </c>
      <c r="J56" s="19" t="s">
        <v>593</v>
      </c>
      <c r="K56" s="19" t="s">
        <v>594</v>
      </c>
      <c r="L56" s="19" t="s">
        <v>595</v>
      </c>
      <c r="M56" s="19" t="s">
        <v>35</v>
      </c>
      <c r="N56" s="19" t="s">
        <v>36</v>
      </c>
      <c r="O56" s="19" t="s">
        <v>37</v>
      </c>
      <c r="P56" s="19" t="s">
        <v>38</v>
      </c>
      <c r="Q56" s="19" t="str">
        <f t="shared" si="1"/>
        <v>HSK1-VOCAB-052</v>
      </c>
      <c r="R56" s="19" t="str">
        <f t="shared" si="2"/>
        <v>Chinese::HSK::HSK1::Vocabulary</v>
      </c>
      <c r="S56" s="20" t="s">
        <v>224</v>
      </c>
      <c r="T56" s="19" t="s">
        <v>40</v>
      </c>
    </row>
    <row r="57" ht="30.0" customHeight="1">
      <c r="A57" s="15" t="s">
        <v>596</v>
      </c>
      <c r="B57" s="16" t="s">
        <v>597</v>
      </c>
      <c r="C57" s="16" t="s">
        <v>598</v>
      </c>
      <c r="D57" s="16" t="s">
        <v>599</v>
      </c>
      <c r="E57" s="17" t="s">
        <v>27</v>
      </c>
      <c r="F57" s="18" t="s">
        <v>600</v>
      </c>
      <c r="G57" s="19" t="s">
        <v>601</v>
      </c>
      <c r="H57" s="19" t="s">
        <v>602</v>
      </c>
      <c r="I57" s="19" t="s">
        <v>603</v>
      </c>
      <c r="J57" s="19" t="s">
        <v>604</v>
      </c>
      <c r="K57" s="19" t="s">
        <v>605</v>
      </c>
      <c r="L57" s="19" t="s">
        <v>606</v>
      </c>
      <c r="M57" s="19" t="s">
        <v>35</v>
      </c>
      <c r="N57" s="19" t="s">
        <v>36</v>
      </c>
      <c r="O57" s="19" t="s">
        <v>37</v>
      </c>
      <c r="P57" s="19" t="s">
        <v>38</v>
      </c>
      <c r="Q57" s="19" t="str">
        <f t="shared" si="1"/>
        <v>HSK1-VOCAB-053</v>
      </c>
      <c r="R57" s="19" t="str">
        <f t="shared" si="2"/>
        <v>Chinese::HSK::HSK1::Vocabulary</v>
      </c>
      <c r="S57" s="20" t="s">
        <v>224</v>
      </c>
      <c r="T57" s="19" t="s">
        <v>40</v>
      </c>
    </row>
    <row r="58" ht="30.0" customHeight="1">
      <c r="A58" s="27" t="s">
        <v>607</v>
      </c>
      <c r="B58" s="16" t="s">
        <v>597</v>
      </c>
      <c r="C58" s="16" t="s">
        <v>608</v>
      </c>
      <c r="D58" s="16" t="s">
        <v>609</v>
      </c>
      <c r="E58" s="17" t="s">
        <v>27</v>
      </c>
      <c r="F58" s="18" t="s">
        <v>610</v>
      </c>
      <c r="G58" s="19" t="s">
        <v>611</v>
      </c>
      <c r="H58" s="19" t="s">
        <v>612</v>
      </c>
      <c r="I58" s="19" t="s">
        <v>613</v>
      </c>
      <c r="J58" s="19" t="s">
        <v>614</v>
      </c>
      <c r="K58" s="19" t="s">
        <v>615</v>
      </c>
      <c r="L58" s="19" t="s">
        <v>616</v>
      </c>
      <c r="M58" s="19" t="s">
        <v>35</v>
      </c>
      <c r="N58" s="19" t="s">
        <v>36</v>
      </c>
      <c r="O58" s="19" t="s">
        <v>37</v>
      </c>
      <c r="P58" s="19" t="s">
        <v>38</v>
      </c>
      <c r="Q58" s="19" t="str">
        <f t="shared" si="1"/>
        <v>HSK1-VOCAB-054</v>
      </c>
      <c r="R58" s="19" t="str">
        <f t="shared" si="2"/>
        <v>Chinese::HSK::HSK1::Vocabulary</v>
      </c>
      <c r="S58" s="20" t="s">
        <v>224</v>
      </c>
      <c r="T58" s="19" t="s">
        <v>40</v>
      </c>
    </row>
    <row r="59" ht="30.0" customHeight="1">
      <c r="A59" s="27" t="s">
        <v>617</v>
      </c>
      <c r="B59" s="16" t="s">
        <v>576</v>
      </c>
      <c r="C59" s="16" t="s">
        <v>618</v>
      </c>
      <c r="D59" s="16" t="s">
        <v>619</v>
      </c>
      <c r="E59" s="17" t="s">
        <v>27</v>
      </c>
      <c r="F59" s="18" t="s">
        <v>620</v>
      </c>
      <c r="G59" s="19" t="s">
        <v>621</v>
      </c>
      <c r="H59" s="19" t="s">
        <v>622</v>
      </c>
      <c r="I59" s="19" t="s">
        <v>623</v>
      </c>
      <c r="J59" s="19" t="s">
        <v>624</v>
      </c>
      <c r="K59" s="19" t="s">
        <v>625</v>
      </c>
      <c r="L59" s="19" t="s">
        <v>626</v>
      </c>
      <c r="M59" s="19" t="s">
        <v>35</v>
      </c>
      <c r="N59" s="19" t="s">
        <v>36</v>
      </c>
      <c r="O59" s="19" t="s">
        <v>37</v>
      </c>
      <c r="P59" s="19" t="s">
        <v>38</v>
      </c>
      <c r="Q59" s="19" t="str">
        <f t="shared" si="1"/>
        <v>HSK1-VOCAB-055</v>
      </c>
      <c r="R59" s="19" t="str">
        <f t="shared" si="2"/>
        <v>Chinese::HSK::HSK1::Vocabulary</v>
      </c>
      <c r="S59" s="20" t="s">
        <v>224</v>
      </c>
      <c r="T59" s="19" t="s">
        <v>40</v>
      </c>
    </row>
    <row r="60" ht="30.0" customHeight="1">
      <c r="A60" s="27" t="s">
        <v>627</v>
      </c>
      <c r="B60" s="16" t="s">
        <v>597</v>
      </c>
      <c r="C60" s="16" t="s">
        <v>628</v>
      </c>
      <c r="D60" s="16" t="s">
        <v>629</v>
      </c>
      <c r="E60" s="17" t="s">
        <v>27</v>
      </c>
      <c r="F60" s="18" t="s">
        <v>630</v>
      </c>
      <c r="G60" s="19" t="s">
        <v>631</v>
      </c>
      <c r="H60" s="19" t="s">
        <v>632</v>
      </c>
      <c r="I60" s="19" t="s">
        <v>633</v>
      </c>
      <c r="J60" s="19" t="s">
        <v>634</v>
      </c>
      <c r="K60" s="19" t="s">
        <v>635</v>
      </c>
      <c r="L60" s="19" t="s">
        <v>636</v>
      </c>
      <c r="M60" s="19" t="s">
        <v>35</v>
      </c>
      <c r="N60" s="19" t="s">
        <v>36</v>
      </c>
      <c r="O60" s="19" t="s">
        <v>37</v>
      </c>
      <c r="P60" s="19" t="s">
        <v>38</v>
      </c>
      <c r="Q60" s="19" t="str">
        <f t="shared" si="1"/>
        <v>HSK1-VOCAB-056</v>
      </c>
      <c r="R60" s="19" t="str">
        <f t="shared" si="2"/>
        <v>Chinese::HSK::HSK1::Vocabulary</v>
      </c>
      <c r="S60" s="20" t="s">
        <v>224</v>
      </c>
      <c r="T60" s="19" t="s">
        <v>40</v>
      </c>
    </row>
    <row r="61" ht="30.0" customHeight="1">
      <c r="A61" s="27" t="s">
        <v>637</v>
      </c>
      <c r="B61" s="16" t="s">
        <v>638</v>
      </c>
      <c r="C61" s="16" t="s">
        <v>639</v>
      </c>
      <c r="D61" s="16" t="s">
        <v>640</v>
      </c>
      <c r="E61" s="17" t="s">
        <v>27</v>
      </c>
      <c r="F61" s="18" t="s">
        <v>641</v>
      </c>
      <c r="G61" s="19" t="s">
        <v>440</v>
      </c>
      <c r="H61" s="19" t="s">
        <v>642</v>
      </c>
      <c r="I61" s="19" t="s">
        <v>643</v>
      </c>
      <c r="J61" s="19" t="s">
        <v>644</v>
      </c>
      <c r="K61" s="19" t="s">
        <v>645</v>
      </c>
      <c r="L61" s="19" t="s">
        <v>646</v>
      </c>
      <c r="M61" s="19" t="s">
        <v>35</v>
      </c>
      <c r="N61" s="19" t="s">
        <v>36</v>
      </c>
      <c r="O61" s="19" t="s">
        <v>37</v>
      </c>
      <c r="P61" s="19" t="s">
        <v>38</v>
      </c>
      <c r="Q61" s="19" t="str">
        <f t="shared" si="1"/>
        <v>HSK1-VOCAB-057</v>
      </c>
      <c r="R61" s="19" t="str">
        <f t="shared" si="2"/>
        <v>Chinese::HSK::HSK1::Vocabulary</v>
      </c>
      <c r="S61" s="20" t="s">
        <v>224</v>
      </c>
      <c r="T61" s="19" t="s">
        <v>40</v>
      </c>
    </row>
    <row r="62" ht="30.0" customHeight="1">
      <c r="A62" s="27" t="s">
        <v>647</v>
      </c>
      <c r="B62" s="16" t="s">
        <v>648</v>
      </c>
      <c r="C62" s="16" t="s">
        <v>649</v>
      </c>
      <c r="D62" s="16" t="s">
        <v>650</v>
      </c>
      <c r="E62" s="17" t="s">
        <v>27</v>
      </c>
      <c r="F62" s="18" t="s">
        <v>651</v>
      </c>
      <c r="G62" s="19" t="s">
        <v>652</v>
      </c>
      <c r="H62" s="19" t="s">
        <v>653</v>
      </c>
      <c r="I62" s="19" t="s">
        <v>654</v>
      </c>
      <c r="J62" s="19" t="s">
        <v>655</v>
      </c>
      <c r="K62" s="19" t="s">
        <v>656</v>
      </c>
      <c r="L62" s="19" t="s">
        <v>657</v>
      </c>
      <c r="M62" s="19" t="s">
        <v>35</v>
      </c>
      <c r="N62" s="19" t="s">
        <v>36</v>
      </c>
      <c r="O62" s="19" t="s">
        <v>37</v>
      </c>
      <c r="P62" s="19" t="s">
        <v>38</v>
      </c>
      <c r="Q62" s="19" t="str">
        <f t="shared" si="1"/>
        <v>HSK1-VOCAB-058</v>
      </c>
      <c r="R62" s="19" t="str">
        <f t="shared" si="2"/>
        <v>Chinese::HSK::HSK1::Vocabulary</v>
      </c>
      <c r="S62" s="20" t="s">
        <v>224</v>
      </c>
      <c r="T62" s="19" t="s">
        <v>40</v>
      </c>
    </row>
    <row r="63" ht="30.0" customHeight="1">
      <c r="A63" s="27" t="s">
        <v>658</v>
      </c>
      <c r="B63" s="16" t="s">
        <v>659</v>
      </c>
      <c r="C63" s="16" t="s">
        <v>660</v>
      </c>
      <c r="D63" s="16" t="s">
        <v>661</v>
      </c>
      <c r="E63" s="17" t="s">
        <v>27</v>
      </c>
      <c r="F63" s="18" t="s">
        <v>662</v>
      </c>
      <c r="G63" s="19" t="s">
        <v>663</v>
      </c>
      <c r="H63" s="19" t="s">
        <v>664</v>
      </c>
      <c r="I63" s="19" t="s">
        <v>665</v>
      </c>
      <c r="J63" s="19" t="s">
        <v>666</v>
      </c>
      <c r="K63" s="19" t="s">
        <v>667</v>
      </c>
      <c r="L63" s="19" t="s">
        <v>668</v>
      </c>
      <c r="M63" s="19" t="s">
        <v>35</v>
      </c>
      <c r="N63" s="19" t="s">
        <v>36</v>
      </c>
      <c r="O63" s="19" t="s">
        <v>37</v>
      </c>
      <c r="P63" s="19" t="s">
        <v>38</v>
      </c>
      <c r="Q63" s="19" t="str">
        <f t="shared" si="1"/>
        <v>HSK1-VOCAB-059</v>
      </c>
      <c r="R63" s="19" t="str">
        <f t="shared" si="2"/>
        <v>Chinese::HSK::HSK1::Vocabulary</v>
      </c>
      <c r="S63" s="20" t="s">
        <v>224</v>
      </c>
      <c r="T63" s="19" t="s">
        <v>40</v>
      </c>
    </row>
    <row r="64" ht="30.0" customHeight="1">
      <c r="A64" s="27" t="s">
        <v>669</v>
      </c>
      <c r="B64" s="16" t="s">
        <v>670</v>
      </c>
      <c r="C64" s="16" t="s">
        <v>671</v>
      </c>
      <c r="D64" s="16" t="s">
        <v>672</v>
      </c>
      <c r="E64" s="17" t="s">
        <v>27</v>
      </c>
      <c r="F64" s="18" t="s">
        <v>673</v>
      </c>
      <c r="G64" s="19" t="s">
        <v>674</v>
      </c>
      <c r="H64" s="19" t="s">
        <v>675</v>
      </c>
      <c r="I64" s="19" t="s">
        <v>676</v>
      </c>
      <c r="J64" s="19" t="s">
        <v>677</v>
      </c>
      <c r="K64" s="19" t="s">
        <v>678</v>
      </c>
      <c r="L64" s="19" t="s">
        <v>679</v>
      </c>
      <c r="M64" s="19" t="s">
        <v>35</v>
      </c>
      <c r="N64" s="19" t="s">
        <v>36</v>
      </c>
      <c r="O64" s="19" t="s">
        <v>37</v>
      </c>
      <c r="P64" s="19" t="s">
        <v>38</v>
      </c>
      <c r="Q64" s="19" t="str">
        <f t="shared" si="1"/>
        <v>HSK1-VOCAB-060</v>
      </c>
      <c r="R64" s="19" t="str">
        <f t="shared" si="2"/>
        <v>Chinese::HSK::HSK1::Vocabulary</v>
      </c>
      <c r="S64" s="20" t="s">
        <v>224</v>
      </c>
      <c r="T64" s="19" t="s">
        <v>40</v>
      </c>
    </row>
    <row r="65" ht="30.0" customHeight="1">
      <c r="A65" s="27" t="s">
        <v>680</v>
      </c>
      <c r="B65" s="16" t="s">
        <v>681</v>
      </c>
      <c r="C65" s="16" t="s">
        <v>682</v>
      </c>
      <c r="D65" s="16" t="s">
        <v>438</v>
      </c>
      <c r="E65" s="17" t="s">
        <v>27</v>
      </c>
      <c r="F65" s="18" t="s">
        <v>683</v>
      </c>
      <c r="G65" s="19" t="s">
        <v>684</v>
      </c>
      <c r="H65" s="19" t="s">
        <v>685</v>
      </c>
      <c r="I65" s="19" t="s">
        <v>686</v>
      </c>
      <c r="J65" s="19" t="s">
        <v>687</v>
      </c>
      <c r="K65" s="19" t="s">
        <v>688</v>
      </c>
      <c r="L65" s="19" t="s">
        <v>689</v>
      </c>
      <c r="M65" s="19" t="s">
        <v>35</v>
      </c>
      <c r="N65" s="19" t="s">
        <v>36</v>
      </c>
      <c r="O65" s="19" t="s">
        <v>37</v>
      </c>
      <c r="P65" s="19" t="s">
        <v>38</v>
      </c>
      <c r="Q65" s="19" t="str">
        <f t="shared" si="1"/>
        <v>HSK1-VOCAB-061</v>
      </c>
      <c r="R65" s="19" t="str">
        <f t="shared" si="2"/>
        <v>Chinese::HSK::HSK1::Vocabulary</v>
      </c>
      <c r="S65" s="20" t="s">
        <v>224</v>
      </c>
      <c r="T65" s="19" t="s">
        <v>40</v>
      </c>
    </row>
    <row r="66" ht="30.0" customHeight="1">
      <c r="A66" s="27" t="s">
        <v>690</v>
      </c>
      <c r="B66" s="16" t="s">
        <v>691</v>
      </c>
      <c r="C66" s="16" t="s">
        <v>692</v>
      </c>
      <c r="D66" s="16" t="s">
        <v>693</v>
      </c>
      <c r="E66" s="17" t="s">
        <v>27</v>
      </c>
      <c r="F66" s="22" t="s">
        <v>694</v>
      </c>
      <c r="G66" s="23" t="s">
        <v>695</v>
      </c>
      <c r="H66" s="23" t="s">
        <v>696</v>
      </c>
      <c r="I66" s="23" t="s">
        <v>697</v>
      </c>
      <c r="J66" s="23" t="s">
        <v>698</v>
      </c>
      <c r="K66" s="23" t="s">
        <v>699</v>
      </c>
      <c r="L66" s="23" t="s">
        <v>700</v>
      </c>
      <c r="M66" s="23" t="s">
        <v>35</v>
      </c>
      <c r="N66" s="23" t="s">
        <v>36</v>
      </c>
      <c r="O66" s="23" t="s">
        <v>37</v>
      </c>
      <c r="P66" s="23" t="s">
        <v>38</v>
      </c>
      <c r="Q66" s="19" t="str">
        <f t="shared" si="1"/>
        <v>HSK1-VOCAB-062</v>
      </c>
      <c r="R66" s="19" t="str">
        <f t="shared" si="2"/>
        <v>Chinese::HSK::HSK1::Vocabulary</v>
      </c>
      <c r="S66" s="26" t="s">
        <v>224</v>
      </c>
      <c r="T66" s="23" t="s">
        <v>40</v>
      </c>
    </row>
    <row r="67" ht="30.0" customHeight="1">
      <c r="A67" s="27" t="s">
        <v>701</v>
      </c>
      <c r="B67" s="16" t="s">
        <v>702</v>
      </c>
      <c r="C67" s="16" t="s">
        <v>703</v>
      </c>
      <c r="D67" s="16" t="s">
        <v>704</v>
      </c>
      <c r="E67" s="17" t="s">
        <v>27</v>
      </c>
      <c r="F67" s="18" t="s">
        <v>705</v>
      </c>
      <c r="G67" s="20" t="s">
        <v>706</v>
      </c>
      <c r="H67" s="20" t="s">
        <v>707</v>
      </c>
      <c r="I67" s="20" t="s">
        <v>708</v>
      </c>
      <c r="J67" s="20" t="s">
        <v>709</v>
      </c>
      <c r="K67" s="20" t="s">
        <v>710</v>
      </c>
      <c r="L67" s="20" t="s">
        <v>711</v>
      </c>
      <c r="M67" s="19" t="s">
        <v>35</v>
      </c>
      <c r="N67" s="19" t="s">
        <v>36</v>
      </c>
      <c r="O67" s="19" t="s">
        <v>37</v>
      </c>
      <c r="P67" s="19" t="s">
        <v>38</v>
      </c>
      <c r="Q67" s="19" t="str">
        <f t="shared" si="1"/>
        <v>HSK1-VOCAB-063</v>
      </c>
      <c r="R67" s="19" t="str">
        <f t="shared" si="2"/>
        <v>Chinese::HSK::HSK1::Vocabulary</v>
      </c>
      <c r="S67" s="20" t="s">
        <v>224</v>
      </c>
      <c r="T67" s="19" t="s">
        <v>40</v>
      </c>
    </row>
    <row r="68" ht="30.0" customHeight="1">
      <c r="A68" s="27" t="s">
        <v>712</v>
      </c>
      <c r="B68" s="16" t="s">
        <v>713</v>
      </c>
      <c r="C68" s="16" t="s">
        <v>714</v>
      </c>
      <c r="D68" s="16" t="s">
        <v>715</v>
      </c>
      <c r="E68" s="17" t="s">
        <v>27</v>
      </c>
      <c r="F68" s="18" t="s">
        <v>716</v>
      </c>
      <c r="G68" s="20" t="s">
        <v>717</v>
      </c>
      <c r="H68" s="20" t="s">
        <v>718</v>
      </c>
      <c r="I68" s="20" t="s">
        <v>719</v>
      </c>
      <c r="J68" s="20" t="s">
        <v>720</v>
      </c>
      <c r="K68" s="20" t="s">
        <v>721</v>
      </c>
      <c r="L68" s="20" t="s">
        <v>722</v>
      </c>
      <c r="M68" s="19" t="s">
        <v>35</v>
      </c>
      <c r="N68" s="19" t="s">
        <v>36</v>
      </c>
      <c r="O68" s="19" t="s">
        <v>37</v>
      </c>
      <c r="P68" s="19" t="s">
        <v>38</v>
      </c>
      <c r="Q68" s="19" t="str">
        <f t="shared" si="1"/>
        <v>HSK1-VOCAB-064</v>
      </c>
      <c r="R68" s="19" t="str">
        <f t="shared" si="2"/>
        <v>Chinese::HSK::HSK1::Vocabulary</v>
      </c>
      <c r="S68" s="20" t="s">
        <v>224</v>
      </c>
      <c r="T68" s="19" t="s">
        <v>40</v>
      </c>
    </row>
    <row r="69" ht="30.0" customHeight="1">
      <c r="A69" s="27" t="s">
        <v>723</v>
      </c>
      <c r="B69" s="16" t="s">
        <v>724</v>
      </c>
      <c r="C69" s="16" t="s">
        <v>725</v>
      </c>
      <c r="D69" s="16" t="s">
        <v>726</v>
      </c>
      <c r="E69" s="17" t="s">
        <v>727</v>
      </c>
      <c r="F69" s="18" t="s">
        <v>728</v>
      </c>
      <c r="G69" s="20" t="s">
        <v>729</v>
      </c>
      <c r="H69" s="20" t="s">
        <v>730</v>
      </c>
      <c r="I69" s="20" t="s">
        <v>731</v>
      </c>
      <c r="J69" s="20" t="s">
        <v>732</v>
      </c>
      <c r="K69" s="20" t="s">
        <v>733</v>
      </c>
      <c r="L69" s="20" t="s">
        <v>734</v>
      </c>
      <c r="M69" s="19" t="s">
        <v>35</v>
      </c>
      <c r="N69" s="19" t="s">
        <v>36</v>
      </c>
      <c r="O69" s="19" t="s">
        <v>37</v>
      </c>
      <c r="P69" s="19" t="s">
        <v>38</v>
      </c>
      <c r="Q69" s="19" t="str">
        <f t="shared" si="1"/>
        <v>HSK1-VOCAB-065</v>
      </c>
      <c r="R69" s="19" t="str">
        <f t="shared" si="2"/>
        <v>Chinese::HSK::HSK1::Vocabulary</v>
      </c>
      <c r="S69" s="20" t="s">
        <v>224</v>
      </c>
      <c r="T69" s="19" t="s">
        <v>40</v>
      </c>
    </row>
    <row r="70" ht="30.0" customHeight="1">
      <c r="A70" s="27" t="s">
        <v>735</v>
      </c>
      <c r="B70" s="16" t="s">
        <v>736</v>
      </c>
      <c r="C70" s="16" t="s">
        <v>737</v>
      </c>
      <c r="D70" s="16" t="s">
        <v>738</v>
      </c>
      <c r="E70" s="17" t="s">
        <v>27</v>
      </c>
      <c r="F70" s="18" t="s">
        <v>739</v>
      </c>
      <c r="G70" s="20" t="s">
        <v>740</v>
      </c>
      <c r="H70" s="20" t="s">
        <v>741</v>
      </c>
      <c r="I70" s="20" t="s">
        <v>742</v>
      </c>
      <c r="J70" s="20" t="s">
        <v>743</v>
      </c>
      <c r="K70" s="20" t="s">
        <v>744</v>
      </c>
      <c r="L70" s="20" t="s">
        <v>745</v>
      </c>
      <c r="M70" s="19" t="s">
        <v>35</v>
      </c>
      <c r="N70" s="19" t="s">
        <v>36</v>
      </c>
      <c r="O70" s="19" t="s">
        <v>37</v>
      </c>
      <c r="P70" s="19" t="s">
        <v>38</v>
      </c>
      <c r="Q70" s="19" t="str">
        <f t="shared" si="1"/>
        <v>HSK1-VOCAB-066</v>
      </c>
      <c r="R70" s="19" t="str">
        <f t="shared" si="2"/>
        <v>Chinese::HSK::HSK1::Vocabulary</v>
      </c>
      <c r="S70" s="20" t="s">
        <v>224</v>
      </c>
      <c r="T70" s="19" t="s">
        <v>40</v>
      </c>
    </row>
    <row r="71" ht="30.0" customHeight="1">
      <c r="A71" s="28" t="s">
        <v>746</v>
      </c>
      <c r="B71" s="16" t="str">
        <f>pinyin(A71)</f>
        <v>wàn</v>
      </c>
      <c r="C71" s="29" t="s">
        <v>294</v>
      </c>
      <c r="D71" s="29" t="s">
        <v>295</v>
      </c>
      <c r="E71" s="30" t="s">
        <v>27</v>
      </c>
      <c r="F71" s="31" t="s">
        <v>747</v>
      </c>
      <c r="G71" s="20" t="s">
        <v>748</v>
      </c>
      <c r="H71" s="20" t="s">
        <v>749</v>
      </c>
      <c r="I71" s="20" t="s">
        <v>750</v>
      </c>
      <c r="J71" s="20" t="s">
        <v>751</v>
      </c>
      <c r="K71" s="20" t="s">
        <v>752</v>
      </c>
      <c r="L71" s="20" t="s">
        <v>753</v>
      </c>
      <c r="M71" s="19" t="s">
        <v>35</v>
      </c>
      <c r="N71" s="19" t="s">
        <v>36</v>
      </c>
      <c r="O71" s="19" t="s">
        <v>37</v>
      </c>
      <c r="P71" s="19" t="s">
        <v>38</v>
      </c>
      <c r="Q71" s="19" t="str">
        <f t="shared" si="1"/>
        <v>HSK1-VOCAB-067</v>
      </c>
      <c r="R71" s="19" t="str">
        <f t="shared" si="2"/>
        <v>Chinese::HSK::HSK1::Vocabulary</v>
      </c>
      <c r="S71" s="20" t="s">
        <v>224</v>
      </c>
      <c r="T71" s="19"/>
    </row>
    <row r="72" ht="30.0" customHeight="1">
      <c r="A72" s="27" t="s">
        <v>754</v>
      </c>
      <c r="B72" s="16" t="s">
        <v>755</v>
      </c>
      <c r="C72" s="16" t="s">
        <v>756</v>
      </c>
      <c r="D72" s="16" t="s">
        <v>757</v>
      </c>
      <c r="E72" s="17" t="s">
        <v>240</v>
      </c>
      <c r="F72" s="18" t="s">
        <v>758</v>
      </c>
      <c r="G72" s="19" t="s">
        <v>759</v>
      </c>
      <c r="H72" s="19" t="s">
        <v>760</v>
      </c>
      <c r="I72" s="19" t="s">
        <v>761</v>
      </c>
      <c r="J72" s="19" t="s">
        <v>762</v>
      </c>
      <c r="K72" s="19" t="s">
        <v>763</v>
      </c>
      <c r="L72" s="19" t="s">
        <v>764</v>
      </c>
      <c r="M72" s="19" t="s">
        <v>35</v>
      </c>
      <c r="N72" s="19" t="s">
        <v>36</v>
      </c>
      <c r="O72" s="19" t="s">
        <v>37</v>
      </c>
      <c r="P72" s="19" t="s">
        <v>38</v>
      </c>
      <c r="Q72" s="19" t="str">
        <f t="shared" si="1"/>
        <v>HSK1-VOCAB-068</v>
      </c>
      <c r="R72" s="19" t="str">
        <f t="shared" si="2"/>
        <v>Chinese::HSK::HSK1::Vocabulary</v>
      </c>
      <c r="S72" s="21" t="s">
        <v>765</v>
      </c>
      <c r="T72" s="19" t="s">
        <v>40</v>
      </c>
    </row>
    <row r="73" ht="30.0" customHeight="1">
      <c r="A73" s="27" t="s">
        <v>766</v>
      </c>
      <c r="B73" s="16" t="s">
        <v>767</v>
      </c>
      <c r="C73" s="16" t="s">
        <v>649</v>
      </c>
      <c r="D73" s="16" t="s">
        <v>650</v>
      </c>
      <c r="E73" s="17" t="s">
        <v>27</v>
      </c>
      <c r="F73" s="18" t="s">
        <v>768</v>
      </c>
      <c r="G73" s="19" t="s">
        <v>769</v>
      </c>
      <c r="H73" s="19" t="s">
        <v>770</v>
      </c>
      <c r="I73" s="19" t="s">
        <v>771</v>
      </c>
      <c r="J73" s="19" t="s">
        <v>772</v>
      </c>
      <c r="K73" s="19" t="s">
        <v>773</v>
      </c>
      <c r="L73" s="19" t="s">
        <v>774</v>
      </c>
      <c r="M73" s="19" t="s">
        <v>35</v>
      </c>
      <c r="N73" s="19" t="s">
        <v>36</v>
      </c>
      <c r="O73" s="19" t="s">
        <v>37</v>
      </c>
      <c r="P73" s="19" t="s">
        <v>38</v>
      </c>
      <c r="Q73" s="19" t="str">
        <f t="shared" si="1"/>
        <v>HSK1-VOCAB-069</v>
      </c>
      <c r="R73" s="19" t="str">
        <f t="shared" si="2"/>
        <v>Chinese::HSK::HSK1::Vocabulary</v>
      </c>
      <c r="S73" s="21" t="s">
        <v>765</v>
      </c>
      <c r="T73" s="19" t="s">
        <v>40</v>
      </c>
    </row>
    <row r="74" ht="30.0" customHeight="1">
      <c r="A74" s="27" t="s">
        <v>775</v>
      </c>
      <c r="B74" s="16" t="s">
        <v>776</v>
      </c>
      <c r="C74" s="16" t="s">
        <v>777</v>
      </c>
      <c r="D74" s="16" t="s">
        <v>778</v>
      </c>
      <c r="E74" s="17" t="s">
        <v>27</v>
      </c>
      <c r="F74" s="18" t="s">
        <v>779</v>
      </c>
      <c r="G74" s="19" t="s">
        <v>780</v>
      </c>
      <c r="H74" s="19" t="s">
        <v>781</v>
      </c>
      <c r="I74" s="19" t="s">
        <v>782</v>
      </c>
      <c r="J74" s="19" t="s">
        <v>783</v>
      </c>
      <c r="K74" s="19" t="s">
        <v>784</v>
      </c>
      <c r="L74" s="19" t="s">
        <v>785</v>
      </c>
      <c r="M74" s="19" t="s">
        <v>35</v>
      </c>
      <c r="N74" s="19" t="s">
        <v>36</v>
      </c>
      <c r="O74" s="19" t="s">
        <v>37</v>
      </c>
      <c r="P74" s="19" t="s">
        <v>38</v>
      </c>
      <c r="Q74" s="19" t="str">
        <f t="shared" si="1"/>
        <v>HSK1-VOCAB-070</v>
      </c>
      <c r="R74" s="19" t="str">
        <f t="shared" si="2"/>
        <v>Chinese::HSK::HSK1::Vocabulary</v>
      </c>
      <c r="S74" s="21" t="s">
        <v>765</v>
      </c>
      <c r="T74" s="19" t="s">
        <v>40</v>
      </c>
    </row>
    <row r="75" ht="30.0" customHeight="1">
      <c r="A75" s="27" t="s">
        <v>786</v>
      </c>
      <c r="B75" s="16" t="s">
        <v>787</v>
      </c>
      <c r="C75" s="16" t="s">
        <v>788</v>
      </c>
      <c r="D75" s="16" t="s">
        <v>789</v>
      </c>
      <c r="E75" s="17" t="s">
        <v>27</v>
      </c>
      <c r="F75" s="18" t="s">
        <v>790</v>
      </c>
      <c r="G75" s="19" t="s">
        <v>791</v>
      </c>
      <c r="H75" s="19" t="s">
        <v>792</v>
      </c>
      <c r="I75" s="19" t="s">
        <v>793</v>
      </c>
      <c r="J75" s="19" t="s">
        <v>794</v>
      </c>
      <c r="K75" s="19" t="s">
        <v>795</v>
      </c>
      <c r="L75" s="19" t="s">
        <v>796</v>
      </c>
      <c r="M75" s="19" t="s">
        <v>35</v>
      </c>
      <c r="N75" s="19" t="s">
        <v>36</v>
      </c>
      <c r="O75" s="19" t="s">
        <v>37</v>
      </c>
      <c r="P75" s="19" t="s">
        <v>38</v>
      </c>
      <c r="Q75" s="19" t="str">
        <f t="shared" si="1"/>
        <v>HSK1-VOCAB-071</v>
      </c>
      <c r="R75" s="19" t="str">
        <f t="shared" si="2"/>
        <v>Chinese::HSK::HSK1::Vocabulary</v>
      </c>
      <c r="S75" s="21" t="s">
        <v>765</v>
      </c>
      <c r="T75" s="19" t="s">
        <v>40</v>
      </c>
    </row>
    <row r="76" ht="30.0" customHeight="1">
      <c r="A76" s="27" t="s">
        <v>797</v>
      </c>
      <c r="B76" s="16" t="s">
        <v>798</v>
      </c>
      <c r="C76" s="16" t="s">
        <v>799</v>
      </c>
      <c r="D76" s="16" t="s">
        <v>800</v>
      </c>
      <c r="E76" s="17" t="s">
        <v>513</v>
      </c>
      <c r="F76" s="18" t="s">
        <v>801</v>
      </c>
      <c r="G76" s="19" t="s">
        <v>802</v>
      </c>
      <c r="H76" s="19" t="s">
        <v>803</v>
      </c>
      <c r="I76" s="19" t="s">
        <v>804</v>
      </c>
      <c r="J76" s="19" t="s">
        <v>805</v>
      </c>
      <c r="K76" s="19" t="s">
        <v>806</v>
      </c>
      <c r="L76" s="19" t="s">
        <v>807</v>
      </c>
      <c r="M76" s="19" t="s">
        <v>35</v>
      </c>
      <c r="N76" s="19" t="s">
        <v>36</v>
      </c>
      <c r="O76" s="19" t="s">
        <v>37</v>
      </c>
      <c r="P76" s="19" t="s">
        <v>38</v>
      </c>
      <c r="Q76" s="19" t="str">
        <f t="shared" si="1"/>
        <v>HSK1-VOCAB-072</v>
      </c>
      <c r="R76" s="19" t="str">
        <f t="shared" si="2"/>
        <v>Chinese::HSK::HSK1::Vocabulary</v>
      </c>
      <c r="S76" s="21" t="s">
        <v>765</v>
      </c>
      <c r="T76" s="19" t="s">
        <v>40</v>
      </c>
    </row>
    <row r="77">
      <c r="A77" s="27" t="s">
        <v>808</v>
      </c>
      <c r="B77" s="16" t="s">
        <v>809</v>
      </c>
      <c r="C77" s="16" t="s">
        <v>810</v>
      </c>
      <c r="D77" s="16" t="s">
        <v>811</v>
      </c>
      <c r="E77" s="17" t="s">
        <v>513</v>
      </c>
      <c r="F77" s="18" t="s">
        <v>812</v>
      </c>
      <c r="G77" s="19" t="s">
        <v>813</v>
      </c>
      <c r="H77" s="19" t="s">
        <v>814</v>
      </c>
      <c r="I77" s="19" t="s">
        <v>815</v>
      </c>
      <c r="J77" s="19" t="s">
        <v>816</v>
      </c>
      <c r="K77" s="19" t="s">
        <v>817</v>
      </c>
      <c r="L77" s="19" t="s">
        <v>818</v>
      </c>
      <c r="M77" s="19" t="s">
        <v>35</v>
      </c>
      <c r="N77" s="19" t="s">
        <v>36</v>
      </c>
      <c r="O77" s="19" t="s">
        <v>37</v>
      </c>
      <c r="P77" s="19" t="s">
        <v>38</v>
      </c>
      <c r="Q77" s="19" t="str">
        <f t="shared" si="1"/>
        <v>HSK1-VOCAB-073</v>
      </c>
      <c r="R77" s="19" t="str">
        <f t="shared" si="2"/>
        <v>Chinese::HSK::HSK1::Vocabulary</v>
      </c>
      <c r="S77" s="21" t="s">
        <v>819</v>
      </c>
      <c r="T77" s="19" t="s">
        <v>40</v>
      </c>
    </row>
    <row r="78" ht="30.0" customHeight="1">
      <c r="A78" s="27" t="s">
        <v>820</v>
      </c>
      <c r="B78" s="16" t="s">
        <v>821</v>
      </c>
      <c r="C78" s="16" t="s">
        <v>822</v>
      </c>
      <c r="D78" s="29" t="s">
        <v>823</v>
      </c>
      <c r="E78" s="17" t="s">
        <v>240</v>
      </c>
      <c r="F78" s="18" t="s">
        <v>824</v>
      </c>
      <c r="G78" s="19" t="s">
        <v>825</v>
      </c>
      <c r="H78" s="19" t="s">
        <v>826</v>
      </c>
      <c r="I78" s="19" t="s">
        <v>827</v>
      </c>
      <c r="J78" s="19" t="s">
        <v>828</v>
      </c>
      <c r="K78" s="19" t="s">
        <v>829</v>
      </c>
      <c r="L78" s="19" t="s">
        <v>830</v>
      </c>
      <c r="M78" s="19" t="s">
        <v>35</v>
      </c>
      <c r="N78" s="19" t="s">
        <v>36</v>
      </c>
      <c r="O78" s="19" t="s">
        <v>37</v>
      </c>
      <c r="P78" s="19" t="s">
        <v>38</v>
      </c>
      <c r="Q78" s="19" t="str">
        <f t="shared" si="1"/>
        <v>HSK1-VOCAB-074</v>
      </c>
      <c r="R78" s="19" t="str">
        <f t="shared" si="2"/>
        <v>Chinese::HSK::HSK1::Vocabulary</v>
      </c>
      <c r="S78" s="21" t="s">
        <v>819</v>
      </c>
      <c r="T78" s="4"/>
    </row>
    <row r="79" ht="30.0" customHeight="1">
      <c r="A79" s="27" t="s">
        <v>831</v>
      </c>
      <c r="B79" s="16" t="s">
        <v>832</v>
      </c>
      <c r="C79" s="16" t="s">
        <v>833</v>
      </c>
      <c r="D79" s="16" t="s">
        <v>834</v>
      </c>
      <c r="E79" s="17" t="s">
        <v>27</v>
      </c>
      <c r="F79" s="18" t="s">
        <v>835</v>
      </c>
      <c r="G79" s="19" t="s">
        <v>836</v>
      </c>
      <c r="H79" s="19" t="s">
        <v>837</v>
      </c>
      <c r="I79" s="19" t="s">
        <v>838</v>
      </c>
      <c r="J79" s="19" t="s">
        <v>839</v>
      </c>
      <c r="K79" s="19" t="s">
        <v>840</v>
      </c>
      <c r="L79" s="19" t="s">
        <v>841</v>
      </c>
      <c r="M79" s="19" t="s">
        <v>35</v>
      </c>
      <c r="N79" s="19" t="s">
        <v>36</v>
      </c>
      <c r="O79" s="19" t="s">
        <v>37</v>
      </c>
      <c r="P79" s="19" t="s">
        <v>38</v>
      </c>
      <c r="Q79" s="19" t="str">
        <f t="shared" si="1"/>
        <v>HSK1-VOCAB-075</v>
      </c>
      <c r="R79" s="19" t="str">
        <f t="shared" si="2"/>
        <v>Chinese::HSK::HSK1::Vocabulary</v>
      </c>
      <c r="S79" s="21" t="s">
        <v>819</v>
      </c>
      <c r="T79" s="4"/>
    </row>
    <row r="80" ht="30.0" customHeight="1">
      <c r="A80" s="27" t="s">
        <v>842</v>
      </c>
      <c r="B80" s="16" t="s">
        <v>843</v>
      </c>
      <c r="C80" s="16" t="s">
        <v>844</v>
      </c>
      <c r="D80" s="16" t="s">
        <v>845</v>
      </c>
      <c r="E80" s="17" t="s">
        <v>318</v>
      </c>
      <c r="F80" s="18" t="s">
        <v>846</v>
      </c>
      <c r="G80" s="19" t="s">
        <v>847</v>
      </c>
      <c r="H80" s="19" t="s">
        <v>848</v>
      </c>
      <c r="I80" s="19" t="s">
        <v>849</v>
      </c>
      <c r="J80" s="19" t="s">
        <v>850</v>
      </c>
      <c r="K80" s="19" t="s">
        <v>851</v>
      </c>
      <c r="L80" s="19" t="s">
        <v>852</v>
      </c>
      <c r="M80" s="19" t="s">
        <v>35</v>
      </c>
      <c r="N80" s="19" t="s">
        <v>36</v>
      </c>
      <c r="O80" s="19" t="s">
        <v>37</v>
      </c>
      <c r="P80" s="19" t="s">
        <v>38</v>
      </c>
      <c r="Q80" s="19" t="str">
        <f t="shared" si="1"/>
        <v>HSK1-VOCAB-076</v>
      </c>
      <c r="R80" s="19" t="str">
        <f t="shared" si="2"/>
        <v>Chinese::HSK::HSK1::Vocabulary</v>
      </c>
      <c r="S80" s="21" t="s">
        <v>819</v>
      </c>
      <c r="T80" s="4"/>
    </row>
    <row r="81" ht="44.25" customHeight="1">
      <c r="A81" s="27" t="s">
        <v>853</v>
      </c>
      <c r="B81" s="16" t="str">
        <f>pinyin(A81)</f>
        <v>huán</v>
      </c>
      <c r="C81" s="16" t="s">
        <v>854</v>
      </c>
      <c r="D81" s="16" t="s">
        <v>855</v>
      </c>
      <c r="E81" s="17" t="s">
        <v>318</v>
      </c>
      <c r="F81" s="18" t="s">
        <v>856</v>
      </c>
      <c r="G81" s="19" t="s">
        <v>857</v>
      </c>
      <c r="H81" s="19" t="s">
        <v>858</v>
      </c>
      <c r="I81" s="19" t="s">
        <v>859</v>
      </c>
      <c r="J81" s="19" t="s">
        <v>860</v>
      </c>
      <c r="K81" s="19" t="s">
        <v>861</v>
      </c>
      <c r="L81" s="19" t="s">
        <v>862</v>
      </c>
      <c r="M81" s="19" t="s">
        <v>35</v>
      </c>
      <c r="N81" s="19" t="s">
        <v>36</v>
      </c>
      <c r="O81" s="19" t="s">
        <v>37</v>
      </c>
      <c r="P81" s="19" t="s">
        <v>38</v>
      </c>
      <c r="Q81" s="19" t="str">
        <f t="shared" si="1"/>
        <v>HSK1-VOCAB-077</v>
      </c>
      <c r="R81" s="19" t="str">
        <f t="shared" si="2"/>
        <v>Chinese::HSK::HSK1::Vocabulary</v>
      </c>
      <c r="S81" s="21" t="s">
        <v>819</v>
      </c>
      <c r="T81" s="4"/>
    </row>
    <row r="82" ht="30.0" customHeight="1">
      <c r="A82" s="27" t="s">
        <v>863</v>
      </c>
      <c r="B82" s="16" t="s">
        <v>864</v>
      </c>
      <c r="C82" s="16" t="s">
        <v>865</v>
      </c>
      <c r="D82" s="16" t="s">
        <v>866</v>
      </c>
      <c r="E82" s="17" t="s">
        <v>727</v>
      </c>
      <c r="F82" s="18" t="s">
        <v>867</v>
      </c>
      <c r="G82" s="19" t="s">
        <v>868</v>
      </c>
      <c r="H82" s="19" t="s">
        <v>869</v>
      </c>
      <c r="I82" s="19" t="s">
        <v>870</v>
      </c>
      <c r="J82" s="19" t="s">
        <v>871</v>
      </c>
      <c r="K82" s="19" t="s">
        <v>872</v>
      </c>
      <c r="L82" s="19" t="s">
        <v>873</v>
      </c>
      <c r="M82" s="19" t="s">
        <v>35</v>
      </c>
      <c r="N82" s="19" t="s">
        <v>36</v>
      </c>
      <c r="O82" s="19" t="s">
        <v>37</v>
      </c>
      <c r="P82" s="19" t="s">
        <v>38</v>
      </c>
      <c r="Q82" s="19" t="str">
        <f t="shared" si="1"/>
        <v>HSK1-VOCAB-078</v>
      </c>
      <c r="R82" s="19" t="str">
        <f t="shared" si="2"/>
        <v>Chinese::HSK::HSK1::Vocabulary</v>
      </c>
      <c r="S82" s="21" t="s">
        <v>819</v>
      </c>
      <c r="T82" s="4"/>
    </row>
    <row r="83" ht="30.0" customHeight="1">
      <c r="A83" s="27" t="s">
        <v>874</v>
      </c>
      <c r="B83" s="16" t="s">
        <v>875</v>
      </c>
      <c r="C83" s="16" t="s">
        <v>876</v>
      </c>
      <c r="D83" s="16" t="s">
        <v>877</v>
      </c>
      <c r="E83" s="17" t="s">
        <v>27</v>
      </c>
      <c r="F83" s="22" t="s">
        <v>878</v>
      </c>
      <c r="G83" s="23" t="s">
        <v>879</v>
      </c>
      <c r="H83" s="23" t="s">
        <v>880</v>
      </c>
      <c r="I83" s="23" t="s">
        <v>881</v>
      </c>
      <c r="J83" s="23" t="s">
        <v>882</v>
      </c>
      <c r="K83" s="23" t="s">
        <v>883</v>
      </c>
      <c r="L83" s="23" t="s">
        <v>884</v>
      </c>
      <c r="M83" s="23" t="s">
        <v>35</v>
      </c>
      <c r="N83" s="23" t="s">
        <v>36</v>
      </c>
      <c r="O83" s="23" t="s">
        <v>37</v>
      </c>
      <c r="P83" s="23" t="s">
        <v>38</v>
      </c>
      <c r="Q83" s="19" t="str">
        <f t="shared" si="1"/>
        <v>HSK1-VOCAB-079</v>
      </c>
      <c r="R83" s="19" t="str">
        <f t="shared" si="2"/>
        <v>Chinese::HSK::HSK1::Vocabulary</v>
      </c>
      <c r="S83" s="21" t="s">
        <v>819</v>
      </c>
      <c r="T83" s="32"/>
    </row>
    <row r="84" ht="30.0" customHeight="1">
      <c r="A84" s="27" t="s">
        <v>885</v>
      </c>
      <c r="B84" s="16" t="s">
        <v>886</v>
      </c>
      <c r="C84" s="16" t="s">
        <v>887</v>
      </c>
      <c r="D84" s="16" t="s">
        <v>888</v>
      </c>
      <c r="E84" s="17" t="s">
        <v>513</v>
      </c>
      <c r="F84" s="18" t="s">
        <v>889</v>
      </c>
      <c r="G84" s="19" t="s">
        <v>890</v>
      </c>
      <c r="H84" s="19" t="s">
        <v>891</v>
      </c>
      <c r="I84" s="19" t="s">
        <v>892</v>
      </c>
      <c r="J84" s="19" t="s">
        <v>893</v>
      </c>
      <c r="K84" s="19" t="s">
        <v>894</v>
      </c>
      <c r="L84" s="19" t="s">
        <v>895</v>
      </c>
      <c r="M84" s="19" t="s">
        <v>35</v>
      </c>
      <c r="N84" s="19" t="s">
        <v>36</v>
      </c>
      <c r="O84" s="19" t="s">
        <v>37</v>
      </c>
      <c r="P84" s="19" t="s">
        <v>38</v>
      </c>
      <c r="Q84" s="19" t="str">
        <f t="shared" si="1"/>
        <v>HSK1-VOCAB-080</v>
      </c>
      <c r="R84" s="19" t="str">
        <f t="shared" si="2"/>
        <v>Chinese::HSK::HSK1::Vocabulary</v>
      </c>
      <c r="S84" s="21" t="s">
        <v>819</v>
      </c>
      <c r="T84" s="4"/>
    </row>
    <row r="85" ht="30.0" customHeight="1">
      <c r="A85" s="27" t="s">
        <v>896</v>
      </c>
      <c r="B85" s="16" t="s">
        <v>897</v>
      </c>
      <c r="C85" s="16" t="s">
        <v>898</v>
      </c>
      <c r="D85" s="16" t="s">
        <v>899</v>
      </c>
      <c r="E85" s="17" t="s">
        <v>27</v>
      </c>
      <c r="F85" s="18" t="s">
        <v>900</v>
      </c>
      <c r="G85" s="19" t="s">
        <v>901</v>
      </c>
      <c r="H85" s="19" t="s">
        <v>902</v>
      </c>
      <c r="I85" s="19" t="s">
        <v>903</v>
      </c>
      <c r="J85" s="19" t="s">
        <v>904</v>
      </c>
      <c r="K85" s="19" t="s">
        <v>905</v>
      </c>
      <c r="L85" s="19" t="s">
        <v>906</v>
      </c>
      <c r="M85" s="19" t="s">
        <v>35</v>
      </c>
      <c r="N85" s="19" t="s">
        <v>36</v>
      </c>
      <c r="O85" s="19" t="s">
        <v>37</v>
      </c>
      <c r="P85" s="19" t="s">
        <v>38</v>
      </c>
      <c r="Q85" s="19" t="str">
        <f t="shared" si="1"/>
        <v>HSK1-VOCAB-081</v>
      </c>
      <c r="R85" s="19" t="str">
        <f t="shared" si="2"/>
        <v>Chinese::HSK::HSK1::Vocabulary</v>
      </c>
      <c r="S85" s="21" t="s">
        <v>819</v>
      </c>
      <c r="T85" s="4"/>
    </row>
    <row r="86" ht="30.0" customHeight="1">
      <c r="A86" s="27" t="s">
        <v>907</v>
      </c>
      <c r="B86" s="16" t="s">
        <v>908</v>
      </c>
      <c r="C86" s="16" t="s">
        <v>909</v>
      </c>
      <c r="D86" s="16" t="s">
        <v>910</v>
      </c>
      <c r="E86" s="17" t="s">
        <v>513</v>
      </c>
      <c r="F86" s="18" t="s">
        <v>911</v>
      </c>
      <c r="G86" s="19" t="s">
        <v>912</v>
      </c>
      <c r="H86" s="19" t="s">
        <v>913</v>
      </c>
      <c r="I86" s="19" t="s">
        <v>914</v>
      </c>
      <c r="J86" s="19" t="s">
        <v>915</v>
      </c>
      <c r="K86" s="19" t="s">
        <v>916</v>
      </c>
      <c r="L86" s="19" t="s">
        <v>917</v>
      </c>
      <c r="M86" s="19" t="s">
        <v>35</v>
      </c>
      <c r="N86" s="19" t="s">
        <v>36</v>
      </c>
      <c r="O86" s="19" t="s">
        <v>37</v>
      </c>
      <c r="P86" s="19" t="s">
        <v>38</v>
      </c>
      <c r="Q86" s="19" t="str">
        <f t="shared" si="1"/>
        <v>HSK1-VOCAB-082</v>
      </c>
      <c r="R86" s="19" t="str">
        <f t="shared" si="2"/>
        <v>Chinese::HSK::HSK1::Vocabulary</v>
      </c>
      <c r="S86" s="21" t="s">
        <v>819</v>
      </c>
      <c r="T86" s="4"/>
    </row>
    <row r="87" ht="30.0" customHeight="1">
      <c r="A87" s="27" t="s">
        <v>918</v>
      </c>
      <c r="B87" s="16" t="s">
        <v>919</v>
      </c>
      <c r="C87" s="16" t="s">
        <v>920</v>
      </c>
      <c r="D87" s="16" t="s">
        <v>921</v>
      </c>
      <c r="E87" s="17" t="s">
        <v>27</v>
      </c>
      <c r="F87" s="18" t="s">
        <v>922</v>
      </c>
      <c r="G87" s="19" t="s">
        <v>923</v>
      </c>
      <c r="H87" s="19" t="s">
        <v>924</v>
      </c>
      <c r="I87" s="19" t="s">
        <v>925</v>
      </c>
      <c r="J87" s="19" t="s">
        <v>926</v>
      </c>
      <c r="K87" s="19" t="s">
        <v>927</v>
      </c>
      <c r="L87" s="19" t="s">
        <v>928</v>
      </c>
      <c r="M87" s="19" t="s">
        <v>35</v>
      </c>
      <c r="N87" s="19" t="s">
        <v>36</v>
      </c>
      <c r="O87" s="19" t="s">
        <v>37</v>
      </c>
      <c r="P87" s="19" t="s">
        <v>38</v>
      </c>
      <c r="Q87" s="19" t="str">
        <f t="shared" si="1"/>
        <v>HSK1-VOCAB-083</v>
      </c>
      <c r="R87" s="19" t="str">
        <f t="shared" si="2"/>
        <v>Chinese::HSK::HSK1::Vocabulary</v>
      </c>
      <c r="S87" s="21" t="s">
        <v>819</v>
      </c>
      <c r="T87" s="4"/>
    </row>
    <row r="88" ht="30.0" customHeight="1">
      <c r="A88" s="27" t="s">
        <v>929</v>
      </c>
      <c r="B88" s="16" t="s">
        <v>930</v>
      </c>
      <c r="C88" s="16" t="s">
        <v>931</v>
      </c>
      <c r="D88" s="16" t="s">
        <v>932</v>
      </c>
      <c r="E88" s="17" t="s">
        <v>27</v>
      </c>
      <c r="F88" s="22" t="s">
        <v>933</v>
      </c>
      <c r="G88" s="23" t="s">
        <v>934</v>
      </c>
      <c r="H88" s="23" t="s">
        <v>935</v>
      </c>
      <c r="I88" s="23" t="s">
        <v>936</v>
      </c>
      <c r="J88" s="23" t="s">
        <v>937</v>
      </c>
      <c r="K88" s="23" t="s">
        <v>938</v>
      </c>
      <c r="L88" s="23" t="s">
        <v>939</v>
      </c>
      <c r="M88" s="23" t="s">
        <v>35</v>
      </c>
      <c r="N88" s="23" t="s">
        <v>36</v>
      </c>
      <c r="O88" s="23" t="s">
        <v>37</v>
      </c>
      <c r="P88" s="23" t="s">
        <v>38</v>
      </c>
      <c r="Q88" s="19" t="str">
        <f t="shared" si="1"/>
        <v>HSK1-VOCAB-084</v>
      </c>
      <c r="R88" s="19" t="str">
        <f t="shared" si="2"/>
        <v>Chinese::HSK::HSK1::Vocabulary</v>
      </c>
      <c r="S88" s="21" t="s">
        <v>819</v>
      </c>
      <c r="T88" s="32"/>
    </row>
    <row r="89" ht="30.0" customHeight="1">
      <c r="A89" s="27" t="s">
        <v>940</v>
      </c>
      <c r="B89" s="16" t="s">
        <v>941</v>
      </c>
      <c r="C89" s="16" t="s">
        <v>942</v>
      </c>
      <c r="D89" s="16" t="s">
        <v>943</v>
      </c>
      <c r="E89" s="17" t="s">
        <v>27</v>
      </c>
      <c r="F89" s="18" t="s">
        <v>944</v>
      </c>
      <c r="G89" s="19" t="s">
        <v>945</v>
      </c>
      <c r="H89" s="19" t="s">
        <v>946</v>
      </c>
      <c r="I89" s="19" t="s">
        <v>947</v>
      </c>
      <c r="J89" s="19" t="s">
        <v>948</v>
      </c>
      <c r="K89" s="19" t="s">
        <v>949</v>
      </c>
      <c r="L89" s="19" t="s">
        <v>950</v>
      </c>
      <c r="M89" s="19" t="s">
        <v>35</v>
      </c>
      <c r="N89" s="19" t="s">
        <v>36</v>
      </c>
      <c r="O89" s="19" t="s">
        <v>37</v>
      </c>
      <c r="P89" s="19" t="s">
        <v>38</v>
      </c>
      <c r="Q89" s="19" t="str">
        <f t="shared" si="1"/>
        <v>HSK1-VOCAB-085</v>
      </c>
      <c r="R89" s="19" t="str">
        <f t="shared" si="2"/>
        <v>Chinese::HSK::HSK1::Vocabulary</v>
      </c>
      <c r="S89" s="21" t="s">
        <v>819</v>
      </c>
      <c r="T89" s="4"/>
    </row>
    <row r="90" ht="30.0" customHeight="1">
      <c r="A90" s="27" t="s">
        <v>951</v>
      </c>
      <c r="B90" s="16" t="s">
        <v>952</v>
      </c>
      <c r="C90" s="16" t="s">
        <v>953</v>
      </c>
      <c r="D90" s="16" t="s">
        <v>954</v>
      </c>
      <c r="E90" s="17" t="s">
        <v>27</v>
      </c>
      <c r="F90" s="22" t="s">
        <v>955</v>
      </c>
      <c r="G90" s="23" t="s">
        <v>956</v>
      </c>
      <c r="H90" s="23" t="s">
        <v>957</v>
      </c>
      <c r="I90" s="23" t="s">
        <v>958</v>
      </c>
      <c r="J90" s="23" t="s">
        <v>959</v>
      </c>
      <c r="K90" s="23" t="s">
        <v>960</v>
      </c>
      <c r="L90" s="23" t="s">
        <v>961</v>
      </c>
      <c r="M90" s="23" t="s">
        <v>35</v>
      </c>
      <c r="N90" s="23" t="s">
        <v>36</v>
      </c>
      <c r="O90" s="23" t="s">
        <v>37</v>
      </c>
      <c r="P90" s="23" t="s">
        <v>38</v>
      </c>
      <c r="Q90" s="19" t="str">
        <f t="shared" si="1"/>
        <v>HSK1-VOCAB-086</v>
      </c>
      <c r="R90" s="19" t="str">
        <f t="shared" si="2"/>
        <v>Chinese::HSK::HSK1::Vocabulary</v>
      </c>
      <c r="S90" s="21" t="s">
        <v>819</v>
      </c>
      <c r="T90" s="32"/>
    </row>
    <row r="91" ht="30.0" customHeight="1">
      <c r="A91" s="27" t="s">
        <v>962</v>
      </c>
      <c r="B91" s="16" t="s">
        <v>963</v>
      </c>
      <c r="C91" s="16" t="s">
        <v>964</v>
      </c>
      <c r="D91" s="16" t="s">
        <v>965</v>
      </c>
      <c r="E91" s="17" t="s">
        <v>27</v>
      </c>
      <c r="F91" s="18" t="s">
        <v>966</v>
      </c>
      <c r="G91" s="19" t="s">
        <v>967</v>
      </c>
      <c r="H91" s="19" t="s">
        <v>968</v>
      </c>
      <c r="I91" s="19" t="s">
        <v>969</v>
      </c>
      <c r="J91" s="19" t="s">
        <v>970</v>
      </c>
      <c r="K91" s="19" t="s">
        <v>971</v>
      </c>
      <c r="L91" s="19" t="s">
        <v>972</v>
      </c>
      <c r="M91" s="19" t="s">
        <v>35</v>
      </c>
      <c r="N91" s="19" t="s">
        <v>36</v>
      </c>
      <c r="O91" s="19" t="s">
        <v>37</v>
      </c>
      <c r="P91" s="19" t="s">
        <v>38</v>
      </c>
      <c r="Q91" s="19" t="str">
        <f t="shared" si="1"/>
        <v>HSK1-VOCAB-087</v>
      </c>
      <c r="R91" s="19" t="str">
        <f t="shared" si="2"/>
        <v>Chinese::HSK::HSK1::Vocabulary</v>
      </c>
      <c r="S91" s="21" t="s">
        <v>973</v>
      </c>
      <c r="T91" s="19" t="s">
        <v>40</v>
      </c>
    </row>
    <row r="92" ht="30.0" customHeight="1">
      <c r="A92" s="27" t="s">
        <v>974</v>
      </c>
      <c r="B92" s="16" t="s">
        <v>975</v>
      </c>
      <c r="C92" s="16" t="s">
        <v>976</v>
      </c>
      <c r="D92" s="16" t="s">
        <v>977</v>
      </c>
      <c r="E92" s="17" t="s">
        <v>318</v>
      </c>
      <c r="F92" s="18" t="s">
        <v>978</v>
      </c>
      <c r="G92" s="19" t="s">
        <v>979</v>
      </c>
      <c r="H92" s="19" t="s">
        <v>980</v>
      </c>
      <c r="I92" s="19" t="s">
        <v>981</v>
      </c>
      <c r="J92" s="19" t="s">
        <v>982</v>
      </c>
      <c r="K92" s="19" t="s">
        <v>983</v>
      </c>
      <c r="L92" s="19" t="s">
        <v>984</v>
      </c>
      <c r="M92" s="19" t="s">
        <v>35</v>
      </c>
      <c r="N92" s="19" t="s">
        <v>36</v>
      </c>
      <c r="O92" s="19" t="s">
        <v>37</v>
      </c>
      <c r="P92" s="19" t="s">
        <v>38</v>
      </c>
      <c r="Q92" s="19" t="str">
        <f t="shared" si="1"/>
        <v>HSK1-VOCAB-088</v>
      </c>
      <c r="R92" s="19" t="str">
        <f t="shared" si="2"/>
        <v>Chinese::HSK::HSK1::Vocabulary</v>
      </c>
      <c r="S92" s="21" t="s">
        <v>973</v>
      </c>
      <c r="T92" s="19" t="s">
        <v>40</v>
      </c>
    </row>
    <row r="93" ht="30.0" customHeight="1">
      <c r="A93" s="27" t="s">
        <v>985</v>
      </c>
      <c r="B93" s="16" t="s">
        <v>986</v>
      </c>
      <c r="C93" s="16" t="s">
        <v>987</v>
      </c>
      <c r="D93" s="16" t="s">
        <v>988</v>
      </c>
      <c r="E93" s="17" t="s">
        <v>513</v>
      </c>
      <c r="F93" s="18" t="s">
        <v>989</v>
      </c>
      <c r="G93" s="19" t="s">
        <v>990</v>
      </c>
      <c r="H93" s="19" t="s">
        <v>991</v>
      </c>
      <c r="I93" s="19" t="s">
        <v>992</v>
      </c>
      <c r="J93" s="19" t="s">
        <v>993</v>
      </c>
      <c r="K93" s="19" t="s">
        <v>994</v>
      </c>
      <c r="L93" s="19" t="s">
        <v>995</v>
      </c>
      <c r="M93" s="19" t="s">
        <v>35</v>
      </c>
      <c r="N93" s="19" t="s">
        <v>36</v>
      </c>
      <c r="O93" s="19" t="s">
        <v>37</v>
      </c>
      <c r="P93" s="19" t="s">
        <v>38</v>
      </c>
      <c r="Q93" s="19" t="str">
        <f t="shared" si="1"/>
        <v>HSK1-VOCAB-089</v>
      </c>
      <c r="R93" s="19" t="str">
        <f t="shared" si="2"/>
        <v>Chinese::HSK::HSK1::Vocabulary</v>
      </c>
      <c r="S93" s="21" t="s">
        <v>973</v>
      </c>
      <c r="T93" s="19" t="s">
        <v>40</v>
      </c>
    </row>
    <row r="94" ht="30.0" customHeight="1">
      <c r="A94" s="27" t="s">
        <v>996</v>
      </c>
      <c r="B94" s="16" t="s">
        <v>997</v>
      </c>
      <c r="C94" s="16" t="s">
        <v>998</v>
      </c>
      <c r="D94" s="16" t="s">
        <v>999</v>
      </c>
      <c r="E94" s="17" t="s">
        <v>727</v>
      </c>
      <c r="F94" s="18" t="s">
        <v>1000</v>
      </c>
      <c r="G94" s="19" t="s">
        <v>1001</v>
      </c>
      <c r="H94" s="19" t="s">
        <v>1002</v>
      </c>
      <c r="I94" s="19" t="s">
        <v>1003</v>
      </c>
      <c r="J94" s="19" t="s">
        <v>1004</v>
      </c>
      <c r="K94" s="19" t="s">
        <v>1005</v>
      </c>
      <c r="L94" s="19" t="s">
        <v>1006</v>
      </c>
      <c r="M94" s="19" t="s">
        <v>35</v>
      </c>
      <c r="N94" s="19" t="s">
        <v>36</v>
      </c>
      <c r="O94" s="19" t="s">
        <v>37</v>
      </c>
      <c r="P94" s="19" t="s">
        <v>38</v>
      </c>
      <c r="Q94" s="19" t="str">
        <f t="shared" si="1"/>
        <v>HSK1-VOCAB-090</v>
      </c>
      <c r="R94" s="19" t="str">
        <f t="shared" si="2"/>
        <v>Chinese::HSK::HSK1::Vocabulary</v>
      </c>
      <c r="S94" s="21" t="s">
        <v>973</v>
      </c>
      <c r="T94" s="19" t="s">
        <v>40</v>
      </c>
    </row>
    <row r="95" ht="30.0" customHeight="1">
      <c r="A95" s="27" t="s">
        <v>1007</v>
      </c>
      <c r="B95" s="16" t="s">
        <v>1008</v>
      </c>
      <c r="C95" s="16" t="s">
        <v>1009</v>
      </c>
      <c r="D95" s="16" t="s">
        <v>1010</v>
      </c>
      <c r="E95" s="17" t="s">
        <v>27</v>
      </c>
      <c r="F95" s="18" t="s">
        <v>1011</v>
      </c>
      <c r="G95" s="19" t="s">
        <v>1012</v>
      </c>
      <c r="H95" s="19" t="s">
        <v>1013</v>
      </c>
      <c r="I95" s="19" t="s">
        <v>1014</v>
      </c>
      <c r="J95" s="19" t="s">
        <v>1015</v>
      </c>
      <c r="K95" s="19" t="s">
        <v>1016</v>
      </c>
      <c r="L95" s="19" t="s">
        <v>1017</v>
      </c>
      <c r="M95" s="19" t="s">
        <v>35</v>
      </c>
      <c r="N95" s="19" t="s">
        <v>36</v>
      </c>
      <c r="O95" s="19" t="s">
        <v>37</v>
      </c>
      <c r="P95" s="19" t="s">
        <v>38</v>
      </c>
      <c r="Q95" s="19" t="str">
        <f t="shared" si="1"/>
        <v>HSK1-VOCAB-091</v>
      </c>
      <c r="R95" s="19" t="str">
        <f t="shared" si="2"/>
        <v>Chinese::HSK::HSK1::Vocabulary</v>
      </c>
      <c r="S95" s="21" t="s">
        <v>973</v>
      </c>
      <c r="T95" s="19" t="s">
        <v>40</v>
      </c>
    </row>
    <row r="96" ht="30.0" customHeight="1">
      <c r="A96" s="27" t="s">
        <v>1018</v>
      </c>
      <c r="B96" s="16" t="s">
        <v>1019</v>
      </c>
      <c r="C96" s="16" t="s">
        <v>1020</v>
      </c>
      <c r="D96" s="16" t="s">
        <v>1021</v>
      </c>
      <c r="E96" s="17" t="s">
        <v>27</v>
      </c>
      <c r="F96" s="18" t="s">
        <v>1022</v>
      </c>
      <c r="G96" s="19" t="s">
        <v>1023</v>
      </c>
      <c r="H96" s="19" t="s">
        <v>1024</v>
      </c>
      <c r="I96" s="19" t="s">
        <v>1025</v>
      </c>
      <c r="J96" s="19" t="s">
        <v>1026</v>
      </c>
      <c r="K96" s="19" t="s">
        <v>1027</v>
      </c>
      <c r="L96" s="19" t="s">
        <v>1028</v>
      </c>
      <c r="M96" s="19" t="s">
        <v>35</v>
      </c>
      <c r="N96" s="19" t="s">
        <v>36</v>
      </c>
      <c r="O96" s="19" t="s">
        <v>37</v>
      </c>
      <c r="P96" s="19" t="s">
        <v>38</v>
      </c>
      <c r="Q96" s="19" t="str">
        <f t="shared" si="1"/>
        <v>HSK1-VOCAB-092</v>
      </c>
      <c r="R96" s="19" t="str">
        <f t="shared" si="2"/>
        <v>Chinese::HSK::HSK1::Vocabulary</v>
      </c>
      <c r="S96" s="21" t="s">
        <v>973</v>
      </c>
      <c r="T96" s="19" t="s">
        <v>40</v>
      </c>
    </row>
    <row r="97" ht="30.0" customHeight="1">
      <c r="A97" s="27" t="s">
        <v>1029</v>
      </c>
      <c r="B97" s="16" t="s">
        <v>1030</v>
      </c>
      <c r="C97" s="16" t="s">
        <v>1031</v>
      </c>
      <c r="D97" s="16" t="s">
        <v>1032</v>
      </c>
      <c r="E97" s="17" t="s">
        <v>27</v>
      </c>
      <c r="F97" s="18" t="s">
        <v>1033</v>
      </c>
      <c r="G97" s="19" t="s">
        <v>1034</v>
      </c>
      <c r="H97" s="19" t="s">
        <v>1035</v>
      </c>
      <c r="I97" s="19" t="s">
        <v>1036</v>
      </c>
      <c r="J97" s="19" t="s">
        <v>1037</v>
      </c>
      <c r="K97" s="19" t="s">
        <v>1038</v>
      </c>
      <c r="L97" s="19" t="s">
        <v>1039</v>
      </c>
      <c r="M97" s="19" t="s">
        <v>35</v>
      </c>
      <c r="N97" s="19" t="s">
        <v>36</v>
      </c>
      <c r="O97" s="19" t="s">
        <v>37</v>
      </c>
      <c r="P97" s="19" t="s">
        <v>38</v>
      </c>
      <c r="Q97" s="19" t="str">
        <f t="shared" si="1"/>
        <v>HSK1-VOCAB-093</v>
      </c>
      <c r="R97" s="19" t="str">
        <f t="shared" si="2"/>
        <v>Chinese::HSK::HSK1::Vocabulary</v>
      </c>
      <c r="S97" s="21" t="s">
        <v>973</v>
      </c>
      <c r="T97" s="4"/>
    </row>
    <row r="98" ht="30.0" customHeight="1">
      <c r="A98" s="27" t="s">
        <v>1040</v>
      </c>
      <c r="B98" s="16" t="s">
        <v>1041</v>
      </c>
      <c r="C98" s="16" t="s">
        <v>1042</v>
      </c>
      <c r="D98" s="16" t="s">
        <v>449</v>
      </c>
      <c r="E98" s="17" t="s">
        <v>318</v>
      </c>
      <c r="F98" s="22" t="s">
        <v>1043</v>
      </c>
      <c r="G98" s="23" t="s">
        <v>1044</v>
      </c>
      <c r="H98" s="23" t="s">
        <v>1045</v>
      </c>
      <c r="I98" s="23" t="s">
        <v>1046</v>
      </c>
      <c r="J98" s="23" t="s">
        <v>1047</v>
      </c>
      <c r="K98" s="23" t="s">
        <v>1048</v>
      </c>
      <c r="L98" s="23" t="s">
        <v>1049</v>
      </c>
      <c r="M98" s="23" t="s">
        <v>35</v>
      </c>
      <c r="N98" s="23" t="s">
        <v>36</v>
      </c>
      <c r="O98" s="23" t="s">
        <v>37</v>
      </c>
      <c r="P98" s="23" t="s">
        <v>38</v>
      </c>
      <c r="Q98" s="19" t="str">
        <f t="shared" si="1"/>
        <v>HSK1-VOCAB-094</v>
      </c>
      <c r="R98" s="19" t="str">
        <f t="shared" si="2"/>
        <v>Chinese::HSK::HSK1::Vocabulary</v>
      </c>
      <c r="S98" s="24" t="s">
        <v>973</v>
      </c>
      <c r="T98" s="32"/>
    </row>
    <row r="99" ht="30.0" customHeight="1">
      <c r="A99" s="27" t="s">
        <v>1050</v>
      </c>
      <c r="B99" s="16" t="s">
        <v>1051</v>
      </c>
      <c r="C99" s="16" t="s">
        <v>1052</v>
      </c>
      <c r="D99" s="16" t="s">
        <v>1053</v>
      </c>
      <c r="E99" s="17" t="s">
        <v>727</v>
      </c>
      <c r="F99" s="22" t="s">
        <v>1054</v>
      </c>
      <c r="G99" s="23" t="s">
        <v>1055</v>
      </c>
      <c r="H99" s="23" t="s">
        <v>1056</v>
      </c>
      <c r="I99" s="23" t="s">
        <v>1057</v>
      </c>
      <c r="J99" s="23" t="s">
        <v>1058</v>
      </c>
      <c r="K99" s="23" t="s">
        <v>1059</v>
      </c>
      <c r="L99" s="23" t="s">
        <v>1060</v>
      </c>
      <c r="M99" s="23" t="s">
        <v>35</v>
      </c>
      <c r="N99" s="23" t="s">
        <v>36</v>
      </c>
      <c r="O99" s="23" t="s">
        <v>37</v>
      </c>
      <c r="P99" s="23" t="s">
        <v>38</v>
      </c>
      <c r="Q99" s="19" t="str">
        <f t="shared" si="1"/>
        <v>HSK1-VOCAB-095</v>
      </c>
      <c r="R99" s="19" t="str">
        <f t="shared" si="2"/>
        <v>Chinese::HSK::HSK1::Vocabulary</v>
      </c>
      <c r="S99" s="24" t="s">
        <v>973</v>
      </c>
      <c r="T99" s="32"/>
    </row>
    <row r="100" ht="30.0" customHeight="1">
      <c r="A100" s="27" t="s">
        <v>1061</v>
      </c>
      <c r="B100" s="16" t="s">
        <v>1062</v>
      </c>
      <c r="C100" s="16" t="s">
        <v>1063</v>
      </c>
      <c r="D100" s="16" t="s">
        <v>1064</v>
      </c>
      <c r="E100" s="17" t="s">
        <v>727</v>
      </c>
      <c r="F100" s="18" t="s">
        <v>1065</v>
      </c>
      <c r="G100" s="19" t="s">
        <v>1066</v>
      </c>
      <c r="H100" s="19" t="s">
        <v>1067</v>
      </c>
      <c r="I100" s="19" t="s">
        <v>1068</v>
      </c>
      <c r="J100" s="19" t="s">
        <v>1069</v>
      </c>
      <c r="K100" s="19" t="s">
        <v>1070</v>
      </c>
      <c r="L100" s="19" t="s">
        <v>1071</v>
      </c>
      <c r="M100" s="19" t="s">
        <v>35</v>
      </c>
      <c r="N100" s="19" t="s">
        <v>36</v>
      </c>
      <c r="O100" s="19" t="s">
        <v>37</v>
      </c>
      <c r="P100" s="19" t="s">
        <v>38</v>
      </c>
      <c r="Q100" s="19" t="str">
        <f t="shared" si="1"/>
        <v>HSK1-VOCAB-096</v>
      </c>
      <c r="R100" s="19" t="str">
        <f t="shared" si="2"/>
        <v>Chinese::HSK::HSK1::Vocabulary</v>
      </c>
      <c r="S100" s="21" t="s">
        <v>973</v>
      </c>
      <c r="T100" s="4"/>
    </row>
    <row r="101" ht="30.0" customHeight="1">
      <c r="A101" s="27" t="s">
        <v>1072</v>
      </c>
      <c r="B101" s="16" t="s">
        <v>1073</v>
      </c>
      <c r="C101" s="16" t="s">
        <v>1074</v>
      </c>
      <c r="D101" s="16" t="s">
        <v>1075</v>
      </c>
      <c r="E101" s="17" t="s">
        <v>27</v>
      </c>
      <c r="F101" s="18" t="s">
        <v>1076</v>
      </c>
      <c r="G101" s="19" t="s">
        <v>1077</v>
      </c>
      <c r="H101" s="19" t="s">
        <v>1078</v>
      </c>
      <c r="I101" s="19" t="s">
        <v>1079</v>
      </c>
      <c r="J101" s="19" t="s">
        <v>1080</v>
      </c>
      <c r="K101" s="19" t="s">
        <v>1081</v>
      </c>
      <c r="L101" s="19" t="s">
        <v>1082</v>
      </c>
      <c r="M101" s="19" t="s">
        <v>35</v>
      </c>
      <c r="N101" s="19" t="s">
        <v>36</v>
      </c>
      <c r="O101" s="19" t="s">
        <v>37</v>
      </c>
      <c r="P101" s="19" t="s">
        <v>38</v>
      </c>
      <c r="Q101" s="19" t="str">
        <f t="shared" si="1"/>
        <v>HSK1-VOCAB-097</v>
      </c>
      <c r="R101" s="19" t="str">
        <f t="shared" si="2"/>
        <v>Chinese::HSK::HSK1::Vocabulary</v>
      </c>
      <c r="S101" s="21" t="s">
        <v>1083</v>
      </c>
      <c r="T101" s="4"/>
    </row>
    <row r="102" ht="30.0" customHeight="1">
      <c r="A102" s="27" t="s">
        <v>1084</v>
      </c>
      <c r="B102" s="16" t="s">
        <v>1085</v>
      </c>
      <c r="C102" s="16" t="s">
        <v>1086</v>
      </c>
      <c r="D102" s="16" t="s">
        <v>1087</v>
      </c>
      <c r="E102" s="17" t="s">
        <v>27</v>
      </c>
      <c r="F102" s="18" t="s">
        <v>1088</v>
      </c>
      <c r="G102" s="19" t="s">
        <v>1089</v>
      </c>
      <c r="H102" s="19" t="s">
        <v>1090</v>
      </c>
      <c r="I102" s="19" t="s">
        <v>1091</v>
      </c>
      <c r="J102" s="19" t="s">
        <v>1092</v>
      </c>
      <c r="K102" s="19" t="s">
        <v>1093</v>
      </c>
      <c r="L102" s="19" t="s">
        <v>1082</v>
      </c>
      <c r="M102" s="19" t="s">
        <v>35</v>
      </c>
      <c r="N102" s="19" t="s">
        <v>36</v>
      </c>
      <c r="O102" s="19" t="s">
        <v>37</v>
      </c>
      <c r="P102" s="19" t="s">
        <v>38</v>
      </c>
      <c r="Q102" s="19" t="str">
        <f t="shared" si="1"/>
        <v>HSK1-VOCAB-098</v>
      </c>
      <c r="R102" s="19" t="str">
        <f t="shared" si="2"/>
        <v>Chinese::HSK::HSK1::Vocabulary</v>
      </c>
      <c r="S102" s="21" t="s">
        <v>1083</v>
      </c>
      <c r="T102" s="4"/>
    </row>
    <row r="103" ht="30.0" customHeight="1">
      <c r="A103" s="27" t="s">
        <v>1094</v>
      </c>
      <c r="B103" s="16" t="s">
        <v>1095</v>
      </c>
      <c r="C103" s="16" t="s">
        <v>1096</v>
      </c>
      <c r="D103" s="16" t="s">
        <v>1097</v>
      </c>
      <c r="E103" s="17" t="s">
        <v>27</v>
      </c>
      <c r="F103" s="18" t="s">
        <v>1098</v>
      </c>
      <c r="G103" s="19" t="s">
        <v>1099</v>
      </c>
      <c r="H103" s="19" t="s">
        <v>1100</v>
      </c>
      <c r="I103" s="19" t="s">
        <v>1101</v>
      </c>
      <c r="J103" s="19" t="s">
        <v>1102</v>
      </c>
      <c r="K103" s="19" t="s">
        <v>1103</v>
      </c>
      <c r="L103" s="19" t="s">
        <v>1104</v>
      </c>
      <c r="M103" s="19" t="s">
        <v>35</v>
      </c>
      <c r="N103" s="19" t="s">
        <v>36</v>
      </c>
      <c r="O103" s="19" t="s">
        <v>37</v>
      </c>
      <c r="P103" s="19" t="s">
        <v>38</v>
      </c>
      <c r="Q103" s="19" t="str">
        <f t="shared" si="1"/>
        <v>HSK1-VOCAB-099</v>
      </c>
      <c r="R103" s="19" t="str">
        <f t="shared" si="2"/>
        <v>Chinese::HSK::HSK1::Vocabulary</v>
      </c>
      <c r="S103" s="21" t="s">
        <v>1083</v>
      </c>
      <c r="T103" s="4"/>
    </row>
    <row r="104" ht="30.0" customHeight="1">
      <c r="A104" s="27" t="s">
        <v>1105</v>
      </c>
      <c r="B104" s="16" t="s">
        <v>1106</v>
      </c>
      <c r="C104" s="16" t="s">
        <v>1107</v>
      </c>
      <c r="D104" s="16" t="s">
        <v>1108</v>
      </c>
      <c r="E104" s="17" t="s">
        <v>27</v>
      </c>
      <c r="F104" s="18" t="s">
        <v>1109</v>
      </c>
      <c r="G104" s="19" t="s">
        <v>1110</v>
      </c>
      <c r="H104" s="19" t="s">
        <v>1111</v>
      </c>
      <c r="I104" s="19" t="s">
        <v>1112</v>
      </c>
      <c r="J104" s="19" t="s">
        <v>1113</v>
      </c>
      <c r="K104" s="19" t="s">
        <v>1114</v>
      </c>
      <c r="L104" s="19" t="s">
        <v>1115</v>
      </c>
      <c r="M104" s="19" t="s">
        <v>35</v>
      </c>
      <c r="N104" s="19" t="s">
        <v>36</v>
      </c>
      <c r="O104" s="19" t="s">
        <v>37</v>
      </c>
      <c r="P104" s="19" t="s">
        <v>38</v>
      </c>
      <c r="Q104" s="19" t="str">
        <f t="shared" si="1"/>
        <v>HSK1-VOCAB-100</v>
      </c>
      <c r="R104" s="19" t="str">
        <f t="shared" si="2"/>
        <v>Chinese::HSK::HSK1::Vocabulary</v>
      </c>
      <c r="S104" s="21" t="s">
        <v>1083</v>
      </c>
      <c r="T104" s="4"/>
    </row>
    <row r="105" ht="30.0" customHeight="1">
      <c r="A105" s="27" t="s">
        <v>1116</v>
      </c>
      <c r="B105" s="16" t="s">
        <v>1117</v>
      </c>
      <c r="C105" s="16" t="s">
        <v>1118</v>
      </c>
      <c r="D105" s="16" t="s">
        <v>1119</v>
      </c>
      <c r="E105" s="17" t="s">
        <v>240</v>
      </c>
      <c r="F105" s="22" t="s">
        <v>1120</v>
      </c>
      <c r="G105" s="23" t="s">
        <v>1121</v>
      </c>
      <c r="H105" s="23" t="s">
        <v>1122</v>
      </c>
      <c r="I105" s="23" t="s">
        <v>1123</v>
      </c>
      <c r="J105" s="23" t="s">
        <v>1124</v>
      </c>
      <c r="K105" s="23" t="s">
        <v>1125</v>
      </c>
      <c r="L105" s="23" t="s">
        <v>1126</v>
      </c>
      <c r="M105" s="23" t="s">
        <v>35</v>
      </c>
      <c r="N105" s="23" t="s">
        <v>36</v>
      </c>
      <c r="O105" s="23" t="s">
        <v>37</v>
      </c>
      <c r="P105" s="23" t="s">
        <v>38</v>
      </c>
      <c r="Q105" s="19" t="str">
        <f t="shared" si="1"/>
        <v>HSK1-VOCAB-101</v>
      </c>
      <c r="R105" s="19" t="str">
        <f t="shared" si="2"/>
        <v>Chinese::HSK::HSK1::Vocabulary</v>
      </c>
      <c r="S105" s="21" t="s">
        <v>1083</v>
      </c>
      <c r="T105" s="32"/>
    </row>
    <row r="106" ht="30.0" customHeight="1">
      <c r="A106" s="33" t="s">
        <v>1127</v>
      </c>
      <c r="B106" s="16" t="s">
        <v>1128</v>
      </c>
      <c r="C106" s="16" t="s">
        <v>1129</v>
      </c>
      <c r="D106" s="29" t="s">
        <v>1130</v>
      </c>
      <c r="E106" s="17" t="s">
        <v>27</v>
      </c>
      <c r="F106" s="18" t="s">
        <v>1131</v>
      </c>
      <c r="G106" s="19" t="s">
        <v>1132</v>
      </c>
      <c r="H106" s="19" t="s">
        <v>1133</v>
      </c>
      <c r="I106" s="19" t="s">
        <v>1134</v>
      </c>
      <c r="J106" s="19" t="s">
        <v>1135</v>
      </c>
      <c r="K106" s="19" t="s">
        <v>1136</v>
      </c>
      <c r="L106" s="19" t="s">
        <v>1137</v>
      </c>
      <c r="M106" s="19" t="s">
        <v>35</v>
      </c>
      <c r="N106" s="19" t="s">
        <v>36</v>
      </c>
      <c r="O106" s="19" t="s">
        <v>37</v>
      </c>
      <c r="P106" s="19" t="s">
        <v>38</v>
      </c>
      <c r="Q106" s="19" t="str">
        <f t="shared" si="1"/>
        <v>HSK1-VOCAB-102</v>
      </c>
      <c r="R106" s="19" t="str">
        <f t="shared" si="2"/>
        <v>Chinese::HSK::HSK1::Vocabulary</v>
      </c>
      <c r="S106" s="21" t="s">
        <v>1083</v>
      </c>
      <c r="T106" s="4"/>
    </row>
    <row r="107" ht="30.0" customHeight="1">
      <c r="A107" s="34" t="s">
        <v>1138</v>
      </c>
      <c r="B107" s="35" t="s">
        <v>1139</v>
      </c>
      <c r="C107" s="35" t="s">
        <v>1140</v>
      </c>
      <c r="D107" s="35" t="s">
        <v>1141</v>
      </c>
      <c r="E107" s="19" t="s">
        <v>27</v>
      </c>
      <c r="F107" s="18" t="s">
        <v>1142</v>
      </c>
      <c r="G107" s="19" t="s">
        <v>1143</v>
      </c>
      <c r="H107" s="19" t="s">
        <v>1144</v>
      </c>
      <c r="I107" s="19" t="s">
        <v>1145</v>
      </c>
      <c r="J107" s="19" t="s">
        <v>1146</v>
      </c>
      <c r="K107" s="19" t="s">
        <v>1147</v>
      </c>
      <c r="L107" s="19" t="s">
        <v>1148</v>
      </c>
      <c r="M107" s="19" t="s">
        <v>35</v>
      </c>
      <c r="N107" s="19" t="s">
        <v>36</v>
      </c>
      <c r="O107" s="19" t="s">
        <v>37</v>
      </c>
      <c r="P107" s="19" t="s">
        <v>38</v>
      </c>
      <c r="Q107" s="19" t="str">
        <f t="shared" si="1"/>
        <v>HSK1-VOCAB-103</v>
      </c>
      <c r="R107" s="19" t="str">
        <f t="shared" si="2"/>
        <v>Chinese::HSK::HSK1::Vocabulary</v>
      </c>
      <c r="S107" s="21" t="s">
        <v>1149</v>
      </c>
      <c r="T107" s="4"/>
    </row>
    <row r="108" ht="30.0" customHeight="1">
      <c r="A108" s="34" t="s">
        <v>1150</v>
      </c>
      <c r="B108" s="35" t="s">
        <v>1151</v>
      </c>
      <c r="C108" s="35" t="s">
        <v>1152</v>
      </c>
      <c r="D108" s="35" t="s">
        <v>1153</v>
      </c>
      <c r="E108" s="19" t="s">
        <v>27</v>
      </c>
      <c r="F108" s="18" t="s">
        <v>1154</v>
      </c>
      <c r="G108" s="19" t="s">
        <v>1155</v>
      </c>
      <c r="H108" s="19" t="s">
        <v>1156</v>
      </c>
      <c r="I108" s="19" t="s">
        <v>1157</v>
      </c>
      <c r="J108" s="19" t="s">
        <v>1158</v>
      </c>
      <c r="K108" s="19" t="s">
        <v>1159</v>
      </c>
      <c r="L108" s="19" t="s">
        <v>1160</v>
      </c>
      <c r="M108" s="19" t="s">
        <v>35</v>
      </c>
      <c r="N108" s="19" t="s">
        <v>36</v>
      </c>
      <c r="O108" s="19" t="s">
        <v>37</v>
      </c>
      <c r="P108" s="19" t="s">
        <v>38</v>
      </c>
      <c r="Q108" s="19" t="str">
        <f t="shared" si="1"/>
        <v>HSK1-VOCAB-104</v>
      </c>
      <c r="R108" s="19" t="str">
        <f t="shared" si="2"/>
        <v>Chinese::HSK::HSK1::Vocabulary</v>
      </c>
      <c r="S108" s="21" t="s">
        <v>1149</v>
      </c>
      <c r="T108" s="4"/>
    </row>
    <row r="109" ht="30.0" customHeight="1">
      <c r="A109" s="34" t="s">
        <v>1161</v>
      </c>
      <c r="B109" s="35" t="s">
        <v>1162</v>
      </c>
      <c r="C109" s="35" t="s">
        <v>1163</v>
      </c>
      <c r="D109" s="35" t="s">
        <v>1164</v>
      </c>
      <c r="E109" s="19" t="s">
        <v>27</v>
      </c>
      <c r="F109" s="22" t="s">
        <v>1165</v>
      </c>
      <c r="G109" s="23" t="s">
        <v>1166</v>
      </c>
      <c r="H109" s="23" t="s">
        <v>1167</v>
      </c>
      <c r="I109" s="23" t="s">
        <v>1168</v>
      </c>
      <c r="J109" s="23" t="s">
        <v>1169</v>
      </c>
      <c r="K109" s="23" t="s">
        <v>1170</v>
      </c>
      <c r="L109" s="23" t="s">
        <v>1171</v>
      </c>
      <c r="M109" s="23" t="s">
        <v>35</v>
      </c>
      <c r="N109" s="23" t="s">
        <v>36</v>
      </c>
      <c r="O109" s="23" t="s">
        <v>37</v>
      </c>
      <c r="P109" s="23" t="s">
        <v>38</v>
      </c>
      <c r="Q109" s="19" t="str">
        <f t="shared" si="1"/>
        <v>HSK1-VOCAB-105</v>
      </c>
      <c r="R109" s="19" t="str">
        <f t="shared" si="2"/>
        <v>Chinese::HSK::HSK1::Vocabulary</v>
      </c>
      <c r="S109" s="21" t="s">
        <v>1149</v>
      </c>
      <c r="T109" s="32"/>
    </row>
    <row r="110" ht="30.0" customHeight="1">
      <c r="A110" s="34" t="s">
        <v>1172</v>
      </c>
      <c r="B110" s="35" t="s">
        <v>1173</v>
      </c>
      <c r="C110" s="35" t="s">
        <v>1174</v>
      </c>
      <c r="D110" s="35" t="s">
        <v>1175</v>
      </c>
      <c r="E110" s="19" t="s">
        <v>27</v>
      </c>
      <c r="F110" s="22" t="s">
        <v>1176</v>
      </c>
      <c r="G110" s="23" t="s">
        <v>1177</v>
      </c>
      <c r="H110" s="23" t="s">
        <v>1178</v>
      </c>
      <c r="I110" s="23" t="s">
        <v>1179</v>
      </c>
      <c r="J110" s="23" t="s">
        <v>1180</v>
      </c>
      <c r="K110" s="23" t="s">
        <v>1181</v>
      </c>
      <c r="L110" s="23" t="s">
        <v>1182</v>
      </c>
      <c r="M110" s="23" t="s">
        <v>35</v>
      </c>
      <c r="N110" s="23" t="s">
        <v>36</v>
      </c>
      <c r="O110" s="23" t="s">
        <v>37</v>
      </c>
      <c r="P110" s="23" t="s">
        <v>38</v>
      </c>
      <c r="Q110" s="19" t="str">
        <f t="shared" si="1"/>
        <v>HSK1-VOCAB-106</v>
      </c>
      <c r="R110" s="19" t="str">
        <f t="shared" si="2"/>
        <v>Chinese::HSK::HSK1::Vocabulary</v>
      </c>
      <c r="S110" s="21" t="s">
        <v>1149</v>
      </c>
      <c r="T110" s="32"/>
    </row>
    <row r="111" ht="30.0" customHeight="1">
      <c r="A111" s="34" t="s">
        <v>1183</v>
      </c>
      <c r="B111" s="35" t="s">
        <v>1184</v>
      </c>
      <c r="C111" s="35" t="s">
        <v>1185</v>
      </c>
      <c r="D111" s="35" t="s">
        <v>228</v>
      </c>
      <c r="E111" s="19" t="s">
        <v>27</v>
      </c>
      <c r="F111" s="22" t="s">
        <v>1186</v>
      </c>
      <c r="G111" s="23" t="s">
        <v>1187</v>
      </c>
      <c r="H111" s="23" t="s">
        <v>1188</v>
      </c>
      <c r="I111" s="23" t="s">
        <v>1189</v>
      </c>
      <c r="J111" s="23" t="s">
        <v>1190</v>
      </c>
      <c r="K111" s="23" t="s">
        <v>1191</v>
      </c>
      <c r="L111" s="23" t="s">
        <v>1192</v>
      </c>
      <c r="M111" s="23" t="s">
        <v>35</v>
      </c>
      <c r="N111" s="23" t="s">
        <v>36</v>
      </c>
      <c r="O111" s="23" t="s">
        <v>37</v>
      </c>
      <c r="P111" s="23" t="s">
        <v>38</v>
      </c>
      <c r="Q111" s="19" t="str">
        <f t="shared" si="1"/>
        <v>HSK1-VOCAB-107</v>
      </c>
      <c r="R111" s="19" t="str">
        <f t="shared" si="2"/>
        <v>Chinese::HSK::HSK1::Vocabulary</v>
      </c>
      <c r="S111" s="21" t="s">
        <v>1149</v>
      </c>
      <c r="T111" s="32"/>
    </row>
    <row r="112" ht="30.0" customHeight="1">
      <c r="A112" s="34" t="s">
        <v>1193</v>
      </c>
      <c r="B112" s="35" t="s">
        <v>1194</v>
      </c>
      <c r="C112" s="35" t="s">
        <v>1195</v>
      </c>
      <c r="D112" s="35" t="s">
        <v>1196</v>
      </c>
      <c r="E112" s="19" t="s">
        <v>27</v>
      </c>
      <c r="F112" s="18" t="s">
        <v>1197</v>
      </c>
      <c r="G112" s="19" t="s">
        <v>1198</v>
      </c>
      <c r="H112" s="19" t="s">
        <v>1199</v>
      </c>
      <c r="I112" s="19" t="s">
        <v>1200</v>
      </c>
      <c r="J112" s="19" t="s">
        <v>1201</v>
      </c>
      <c r="K112" s="19" t="s">
        <v>1202</v>
      </c>
      <c r="L112" s="19" t="s">
        <v>1203</v>
      </c>
      <c r="M112" s="19" t="s">
        <v>35</v>
      </c>
      <c r="N112" s="19" t="s">
        <v>36</v>
      </c>
      <c r="O112" s="19" t="s">
        <v>37</v>
      </c>
      <c r="P112" s="19" t="s">
        <v>38</v>
      </c>
      <c r="Q112" s="19" t="str">
        <f t="shared" si="1"/>
        <v>HSK1-VOCAB-108</v>
      </c>
      <c r="R112" s="19" t="str">
        <f t="shared" si="2"/>
        <v>Chinese::HSK::HSK1::Vocabulary</v>
      </c>
      <c r="S112" s="21" t="s">
        <v>1149</v>
      </c>
      <c r="T112" s="4"/>
    </row>
    <row r="113" ht="30.0" customHeight="1">
      <c r="A113" s="34" t="s">
        <v>1204</v>
      </c>
      <c r="B113" s="35" t="s">
        <v>1205</v>
      </c>
      <c r="C113" s="35" t="s">
        <v>1206</v>
      </c>
      <c r="D113" s="35" t="s">
        <v>1207</v>
      </c>
      <c r="E113" s="19" t="s">
        <v>27</v>
      </c>
      <c r="F113" s="22" t="s">
        <v>1208</v>
      </c>
      <c r="G113" s="23" t="s">
        <v>1209</v>
      </c>
      <c r="H113" s="23" t="s">
        <v>1210</v>
      </c>
      <c r="I113" s="23" t="s">
        <v>1211</v>
      </c>
      <c r="J113" s="23" t="s">
        <v>1212</v>
      </c>
      <c r="K113" s="23" t="s">
        <v>1213</v>
      </c>
      <c r="L113" s="23" t="s">
        <v>1214</v>
      </c>
      <c r="M113" s="23" t="s">
        <v>35</v>
      </c>
      <c r="N113" s="23" t="s">
        <v>36</v>
      </c>
      <c r="O113" s="23" t="s">
        <v>37</v>
      </c>
      <c r="P113" s="23" t="s">
        <v>38</v>
      </c>
      <c r="Q113" s="19" t="str">
        <f t="shared" si="1"/>
        <v>HSK1-VOCAB-109</v>
      </c>
      <c r="R113" s="19" t="str">
        <f t="shared" si="2"/>
        <v>Chinese::HSK::HSK1::Vocabulary</v>
      </c>
      <c r="S113" s="21" t="s">
        <v>1149</v>
      </c>
      <c r="T113" s="32"/>
    </row>
    <row r="114" ht="30.0" customHeight="1">
      <c r="A114" s="34" t="s">
        <v>1215</v>
      </c>
      <c r="B114" s="35" t="s">
        <v>1216</v>
      </c>
      <c r="C114" s="35" t="s">
        <v>1217</v>
      </c>
      <c r="D114" s="36" t="s">
        <v>1218</v>
      </c>
      <c r="E114" s="19" t="s">
        <v>27</v>
      </c>
      <c r="F114" s="22" t="s">
        <v>1219</v>
      </c>
      <c r="G114" s="23" t="s">
        <v>1220</v>
      </c>
      <c r="H114" s="23" t="s">
        <v>1221</v>
      </c>
      <c r="I114" s="23" t="s">
        <v>1222</v>
      </c>
      <c r="J114" s="23" t="s">
        <v>1223</v>
      </c>
      <c r="K114" s="23" t="s">
        <v>1224</v>
      </c>
      <c r="L114" s="23" t="s">
        <v>1225</v>
      </c>
      <c r="M114" s="23" t="s">
        <v>35</v>
      </c>
      <c r="N114" s="23" t="s">
        <v>36</v>
      </c>
      <c r="O114" s="23" t="s">
        <v>37</v>
      </c>
      <c r="P114" s="23" t="s">
        <v>38</v>
      </c>
      <c r="Q114" s="19" t="str">
        <f t="shared" si="1"/>
        <v>HSK1-VOCAB-110</v>
      </c>
      <c r="R114" s="19" t="str">
        <f t="shared" si="2"/>
        <v>Chinese::HSK::HSK1::Vocabulary</v>
      </c>
      <c r="S114" s="21" t="s">
        <v>1149</v>
      </c>
      <c r="T114" s="32"/>
    </row>
    <row r="115" ht="30.0" customHeight="1">
      <c r="A115" s="34" t="s">
        <v>1226</v>
      </c>
      <c r="B115" s="35" t="s">
        <v>1227</v>
      </c>
      <c r="C115" s="35" t="s">
        <v>1228</v>
      </c>
      <c r="D115" s="35" t="s">
        <v>1229</v>
      </c>
      <c r="E115" s="19" t="s">
        <v>27</v>
      </c>
      <c r="F115" s="18" t="s">
        <v>1230</v>
      </c>
      <c r="G115" s="19" t="s">
        <v>1231</v>
      </c>
      <c r="H115" s="19" t="s">
        <v>1232</v>
      </c>
      <c r="I115" s="19" t="s">
        <v>1233</v>
      </c>
      <c r="J115" s="19" t="s">
        <v>1234</v>
      </c>
      <c r="K115" s="19" t="s">
        <v>1235</v>
      </c>
      <c r="L115" s="19" t="s">
        <v>1236</v>
      </c>
      <c r="M115" s="19" t="s">
        <v>35</v>
      </c>
      <c r="N115" s="19" t="s">
        <v>36</v>
      </c>
      <c r="O115" s="19" t="s">
        <v>37</v>
      </c>
      <c r="P115" s="19" t="s">
        <v>38</v>
      </c>
      <c r="Q115" s="19" t="str">
        <f t="shared" si="1"/>
        <v>HSK1-VOCAB-111</v>
      </c>
      <c r="R115" s="19" t="str">
        <f t="shared" si="2"/>
        <v>Chinese::HSK::HSK1::Vocabulary</v>
      </c>
      <c r="S115" s="21" t="s">
        <v>1149</v>
      </c>
      <c r="T115" s="4"/>
    </row>
    <row r="116" ht="30.0" customHeight="1">
      <c r="A116" s="34" t="s">
        <v>1237</v>
      </c>
      <c r="B116" s="35" t="s">
        <v>1238</v>
      </c>
      <c r="C116" s="35" t="s">
        <v>1239</v>
      </c>
      <c r="D116" s="35" t="s">
        <v>1240</v>
      </c>
      <c r="E116" s="19" t="s">
        <v>27</v>
      </c>
      <c r="F116" s="18" t="s">
        <v>1241</v>
      </c>
      <c r="G116" s="19" t="s">
        <v>1242</v>
      </c>
      <c r="H116" s="19" t="s">
        <v>1243</v>
      </c>
      <c r="I116" s="19" t="s">
        <v>1244</v>
      </c>
      <c r="J116" s="19" t="s">
        <v>1245</v>
      </c>
      <c r="K116" s="19" t="s">
        <v>1246</v>
      </c>
      <c r="L116" s="19" t="s">
        <v>1247</v>
      </c>
      <c r="M116" s="19" t="s">
        <v>35</v>
      </c>
      <c r="N116" s="19" t="s">
        <v>36</v>
      </c>
      <c r="O116" s="19" t="s">
        <v>37</v>
      </c>
      <c r="P116" s="19" t="s">
        <v>38</v>
      </c>
      <c r="Q116" s="19" t="str">
        <f t="shared" si="1"/>
        <v>HSK1-VOCAB-112</v>
      </c>
      <c r="R116" s="19" t="str">
        <f t="shared" si="2"/>
        <v>Chinese::HSK::HSK1::Vocabulary</v>
      </c>
      <c r="S116" s="21" t="s">
        <v>1149</v>
      </c>
      <c r="T116" s="4"/>
    </row>
    <row r="117" ht="30.0" customHeight="1">
      <c r="A117" s="34" t="s">
        <v>1248</v>
      </c>
      <c r="B117" s="35" t="s">
        <v>522</v>
      </c>
      <c r="C117" s="35" t="s">
        <v>1249</v>
      </c>
      <c r="D117" s="35" t="s">
        <v>1250</v>
      </c>
      <c r="E117" s="19" t="s">
        <v>318</v>
      </c>
      <c r="F117" s="18" t="s">
        <v>1251</v>
      </c>
      <c r="G117" s="19" t="s">
        <v>1252</v>
      </c>
      <c r="H117" s="19" t="s">
        <v>1253</v>
      </c>
      <c r="I117" s="19" t="s">
        <v>1254</v>
      </c>
      <c r="J117" s="19" t="s">
        <v>1255</v>
      </c>
      <c r="K117" s="19" t="s">
        <v>1256</v>
      </c>
      <c r="L117" s="19" t="s">
        <v>1257</v>
      </c>
      <c r="M117" s="19" t="s">
        <v>35</v>
      </c>
      <c r="N117" s="19" t="s">
        <v>36</v>
      </c>
      <c r="O117" s="19" t="s">
        <v>37</v>
      </c>
      <c r="P117" s="19" t="s">
        <v>38</v>
      </c>
      <c r="Q117" s="19" t="str">
        <f t="shared" si="1"/>
        <v>HSK1-VOCAB-113</v>
      </c>
      <c r="R117" s="19" t="str">
        <f t="shared" si="2"/>
        <v>Chinese::HSK::HSK1::Vocabulary</v>
      </c>
      <c r="S117" s="21" t="s">
        <v>1149</v>
      </c>
      <c r="T117" s="4"/>
    </row>
    <row r="118" ht="30.0" customHeight="1">
      <c r="A118" s="34" t="s">
        <v>1258</v>
      </c>
      <c r="B118" s="35" t="s">
        <v>1259</v>
      </c>
      <c r="C118" s="35" t="s">
        <v>1260</v>
      </c>
      <c r="D118" s="35" t="s">
        <v>1261</v>
      </c>
      <c r="E118" s="19" t="s">
        <v>27</v>
      </c>
      <c r="F118" s="18" t="s">
        <v>1262</v>
      </c>
      <c r="G118" s="19" t="s">
        <v>1263</v>
      </c>
      <c r="H118" s="19" t="s">
        <v>1264</v>
      </c>
      <c r="I118" s="19" t="s">
        <v>1265</v>
      </c>
      <c r="J118" s="19" t="s">
        <v>1266</v>
      </c>
      <c r="K118" s="19" t="s">
        <v>1267</v>
      </c>
      <c r="L118" s="19" t="s">
        <v>1268</v>
      </c>
      <c r="M118" s="19" t="s">
        <v>35</v>
      </c>
      <c r="N118" s="19" t="s">
        <v>36</v>
      </c>
      <c r="O118" s="19" t="s">
        <v>37</v>
      </c>
      <c r="P118" s="19" t="s">
        <v>38</v>
      </c>
      <c r="Q118" s="19" t="str">
        <f t="shared" si="1"/>
        <v>HSK1-VOCAB-114</v>
      </c>
      <c r="R118" s="19" t="str">
        <f t="shared" si="2"/>
        <v>Chinese::HSK::HSK1::Vocabulary</v>
      </c>
      <c r="S118" s="21" t="s">
        <v>1149</v>
      </c>
      <c r="T118" s="4"/>
    </row>
    <row r="119" ht="30.0" customHeight="1">
      <c r="A119" s="34" t="s">
        <v>1269</v>
      </c>
      <c r="B119" s="35" t="s">
        <v>1270</v>
      </c>
      <c r="C119" s="35" t="s">
        <v>1271</v>
      </c>
      <c r="D119" s="35" t="s">
        <v>1272</v>
      </c>
      <c r="E119" s="19" t="s">
        <v>513</v>
      </c>
      <c r="F119" s="18" t="s">
        <v>1273</v>
      </c>
      <c r="G119" s="19" t="s">
        <v>1274</v>
      </c>
      <c r="H119" s="19" t="s">
        <v>1275</v>
      </c>
      <c r="I119" s="19" t="s">
        <v>1276</v>
      </c>
      <c r="J119" s="19" t="s">
        <v>1277</v>
      </c>
      <c r="K119" s="19" t="s">
        <v>1278</v>
      </c>
      <c r="L119" s="19" t="s">
        <v>1279</v>
      </c>
      <c r="M119" s="19" t="s">
        <v>35</v>
      </c>
      <c r="N119" s="19" t="s">
        <v>36</v>
      </c>
      <c r="O119" s="19" t="s">
        <v>37</v>
      </c>
      <c r="P119" s="19" t="s">
        <v>38</v>
      </c>
      <c r="Q119" s="19" t="str">
        <f t="shared" si="1"/>
        <v>HSK1-VOCAB-115</v>
      </c>
      <c r="R119" s="19" t="str">
        <f t="shared" si="2"/>
        <v>Chinese::HSK::HSK1::Vocabulary</v>
      </c>
      <c r="S119" s="21" t="s">
        <v>1149</v>
      </c>
      <c r="T119" s="4"/>
    </row>
    <row r="120" ht="30.0" customHeight="1">
      <c r="A120" s="34" t="s">
        <v>1280</v>
      </c>
      <c r="B120" s="35" t="s">
        <v>1281</v>
      </c>
      <c r="C120" s="35" t="s">
        <v>1282</v>
      </c>
      <c r="D120" s="35" t="s">
        <v>1283</v>
      </c>
      <c r="E120" s="19" t="s">
        <v>727</v>
      </c>
      <c r="F120" s="18" t="s">
        <v>1284</v>
      </c>
      <c r="G120" s="19" t="s">
        <v>1285</v>
      </c>
      <c r="H120" s="19" t="s">
        <v>1286</v>
      </c>
      <c r="I120" s="19" t="s">
        <v>1287</v>
      </c>
      <c r="J120" s="19" t="s">
        <v>1288</v>
      </c>
      <c r="K120" s="19" t="s">
        <v>1267</v>
      </c>
      <c r="L120" s="19" t="s">
        <v>1289</v>
      </c>
      <c r="M120" s="19" t="s">
        <v>35</v>
      </c>
      <c r="N120" s="19" t="s">
        <v>36</v>
      </c>
      <c r="O120" s="19" t="s">
        <v>37</v>
      </c>
      <c r="P120" s="19" t="s">
        <v>38</v>
      </c>
      <c r="Q120" s="19" t="str">
        <f t="shared" si="1"/>
        <v>HSK1-VOCAB-116</v>
      </c>
      <c r="R120" s="19" t="str">
        <f t="shared" si="2"/>
        <v>Chinese::HSK::HSK1::Vocabulary</v>
      </c>
      <c r="S120" s="21" t="s">
        <v>1149</v>
      </c>
      <c r="T120" s="4"/>
    </row>
    <row r="121" ht="30.0" customHeight="1">
      <c r="A121" s="34" t="s">
        <v>1290</v>
      </c>
      <c r="B121" s="35" t="s">
        <v>1291</v>
      </c>
      <c r="C121" s="35" t="s">
        <v>1292</v>
      </c>
      <c r="D121" s="35" t="s">
        <v>1293</v>
      </c>
      <c r="E121" s="19" t="s">
        <v>27</v>
      </c>
      <c r="F121" s="18" t="s">
        <v>1294</v>
      </c>
      <c r="G121" s="19" t="s">
        <v>1295</v>
      </c>
      <c r="H121" s="19" t="s">
        <v>1296</v>
      </c>
      <c r="I121" s="19" t="s">
        <v>1297</v>
      </c>
      <c r="J121" s="19" t="s">
        <v>1298</v>
      </c>
      <c r="K121" s="19" t="s">
        <v>1299</v>
      </c>
      <c r="L121" s="19" t="s">
        <v>1300</v>
      </c>
      <c r="M121" s="19" t="s">
        <v>35</v>
      </c>
      <c r="N121" s="19" t="s">
        <v>36</v>
      </c>
      <c r="O121" s="19" t="s">
        <v>37</v>
      </c>
      <c r="P121" s="19" t="s">
        <v>38</v>
      </c>
      <c r="Q121" s="19" t="str">
        <f t="shared" si="1"/>
        <v>HSK1-VOCAB-117</v>
      </c>
      <c r="R121" s="19" t="str">
        <f t="shared" si="2"/>
        <v>Chinese::HSK::HSK1::Vocabulary</v>
      </c>
      <c r="S121" s="21" t="s">
        <v>1149</v>
      </c>
      <c r="T121" s="4"/>
    </row>
    <row r="122" ht="30.0" customHeight="1">
      <c r="A122" s="34" t="s">
        <v>1301</v>
      </c>
      <c r="B122" s="35" t="s">
        <v>1302</v>
      </c>
      <c r="C122" s="35" t="s">
        <v>1303</v>
      </c>
      <c r="D122" s="36" t="s">
        <v>1304</v>
      </c>
      <c r="E122" s="19" t="s">
        <v>727</v>
      </c>
      <c r="F122" s="18" t="s">
        <v>1305</v>
      </c>
      <c r="G122" s="19" t="s">
        <v>1306</v>
      </c>
      <c r="H122" s="19" t="s">
        <v>1307</v>
      </c>
      <c r="I122" s="19" t="s">
        <v>1308</v>
      </c>
      <c r="J122" s="19" t="s">
        <v>1309</v>
      </c>
      <c r="K122" s="19" t="s">
        <v>1310</v>
      </c>
      <c r="L122" s="19" t="s">
        <v>1311</v>
      </c>
      <c r="M122" s="19" t="s">
        <v>35</v>
      </c>
      <c r="N122" s="19" t="s">
        <v>36</v>
      </c>
      <c r="O122" s="19" t="s">
        <v>37</v>
      </c>
      <c r="P122" s="19" t="s">
        <v>38</v>
      </c>
      <c r="Q122" s="19" t="str">
        <f t="shared" si="1"/>
        <v>HSK1-VOCAB-118</v>
      </c>
      <c r="R122" s="19" t="str">
        <f t="shared" si="2"/>
        <v>Chinese::HSK::HSK1::Vocabulary</v>
      </c>
      <c r="S122" s="21" t="s">
        <v>1149</v>
      </c>
      <c r="T122" s="4"/>
    </row>
    <row r="123" ht="30.0" customHeight="1">
      <c r="A123" s="34" t="s">
        <v>1312</v>
      </c>
      <c r="B123" s="35" t="s">
        <v>1313</v>
      </c>
      <c r="C123" s="35" t="s">
        <v>1152</v>
      </c>
      <c r="D123" s="35" t="s">
        <v>1153</v>
      </c>
      <c r="E123" s="19" t="s">
        <v>27</v>
      </c>
      <c r="F123" s="18" t="s">
        <v>1314</v>
      </c>
      <c r="G123" s="19" t="s">
        <v>1315</v>
      </c>
      <c r="H123" s="19" t="s">
        <v>1316</v>
      </c>
      <c r="I123" s="19" t="s">
        <v>1317</v>
      </c>
      <c r="J123" s="19" t="s">
        <v>1318</v>
      </c>
      <c r="K123" s="19" t="s">
        <v>1319</v>
      </c>
      <c r="L123" s="19" t="s">
        <v>1320</v>
      </c>
      <c r="M123" s="19" t="s">
        <v>35</v>
      </c>
      <c r="N123" s="19" t="s">
        <v>36</v>
      </c>
      <c r="O123" s="19" t="s">
        <v>37</v>
      </c>
      <c r="P123" s="19" t="s">
        <v>38</v>
      </c>
      <c r="Q123" s="19" t="str">
        <f t="shared" si="1"/>
        <v>HSK1-VOCAB-119</v>
      </c>
      <c r="R123" s="19" t="str">
        <f t="shared" si="2"/>
        <v>Chinese::HSK::HSK1::Vocabulary</v>
      </c>
      <c r="S123" s="21" t="s">
        <v>1149</v>
      </c>
      <c r="T123" s="4"/>
    </row>
    <row r="124" ht="30.0" customHeight="1">
      <c r="A124" s="34" t="s">
        <v>1321</v>
      </c>
      <c r="B124" s="35" t="s">
        <v>1322</v>
      </c>
      <c r="C124" s="35" t="s">
        <v>1323</v>
      </c>
      <c r="D124" s="35" t="s">
        <v>1324</v>
      </c>
      <c r="E124" s="19" t="s">
        <v>27</v>
      </c>
      <c r="F124" s="18" t="s">
        <v>1325</v>
      </c>
      <c r="G124" s="19" t="s">
        <v>1326</v>
      </c>
      <c r="H124" s="19" t="s">
        <v>1327</v>
      </c>
      <c r="I124" s="19" t="s">
        <v>1328</v>
      </c>
      <c r="J124" s="19" t="s">
        <v>1329</v>
      </c>
      <c r="K124" s="19" t="s">
        <v>1330</v>
      </c>
      <c r="L124" s="19" t="s">
        <v>1331</v>
      </c>
      <c r="M124" s="19" t="s">
        <v>35</v>
      </c>
      <c r="N124" s="19" t="s">
        <v>36</v>
      </c>
      <c r="O124" s="19" t="s">
        <v>37</v>
      </c>
      <c r="P124" s="19" t="s">
        <v>38</v>
      </c>
      <c r="Q124" s="19" t="str">
        <f t="shared" si="1"/>
        <v>HSK1-VOCAB-120</v>
      </c>
      <c r="R124" s="19" t="str">
        <f t="shared" si="2"/>
        <v>Chinese::HSK::HSK1::Vocabulary</v>
      </c>
      <c r="S124" s="21" t="s">
        <v>1149</v>
      </c>
      <c r="T124" s="4"/>
    </row>
    <row r="125" ht="30.0" customHeight="1">
      <c r="A125" s="34" t="s">
        <v>1332</v>
      </c>
      <c r="B125" s="35" t="s">
        <v>1333</v>
      </c>
      <c r="C125" s="35" t="s">
        <v>1334</v>
      </c>
      <c r="D125" s="36" t="s">
        <v>1335</v>
      </c>
      <c r="E125" s="19" t="s">
        <v>513</v>
      </c>
      <c r="F125" s="37" t="s">
        <v>1336</v>
      </c>
      <c r="G125" s="19" t="s">
        <v>1337</v>
      </c>
      <c r="H125" s="19" t="s">
        <v>1338</v>
      </c>
      <c r="I125" s="19" t="s">
        <v>1339</v>
      </c>
      <c r="J125" s="19" t="s">
        <v>1340</v>
      </c>
      <c r="K125" s="19" t="s">
        <v>1341</v>
      </c>
      <c r="L125" s="19" t="s">
        <v>1342</v>
      </c>
      <c r="M125" s="19" t="s">
        <v>35</v>
      </c>
      <c r="N125" s="19" t="s">
        <v>36</v>
      </c>
      <c r="O125" s="19" t="s">
        <v>37</v>
      </c>
      <c r="P125" s="19" t="s">
        <v>38</v>
      </c>
      <c r="Q125" s="19" t="str">
        <f t="shared" si="1"/>
        <v>HSK1-VOCAB-121</v>
      </c>
      <c r="R125" s="19" t="str">
        <f t="shared" si="2"/>
        <v>Chinese::HSK::HSK1::Vocabulary</v>
      </c>
      <c r="S125" s="21" t="s">
        <v>1343</v>
      </c>
      <c r="T125" s="4"/>
    </row>
    <row r="126" ht="30.0" customHeight="1">
      <c r="A126" s="34" t="s">
        <v>1344</v>
      </c>
      <c r="B126" s="35" t="s">
        <v>1345</v>
      </c>
      <c r="C126" s="35" t="s">
        <v>1346</v>
      </c>
      <c r="D126" s="35" t="s">
        <v>1347</v>
      </c>
      <c r="E126" s="19" t="s">
        <v>27</v>
      </c>
      <c r="F126" s="18" t="s">
        <v>1348</v>
      </c>
      <c r="G126" s="19" t="s">
        <v>1349</v>
      </c>
      <c r="H126" s="19" t="s">
        <v>1350</v>
      </c>
      <c r="I126" s="19" t="s">
        <v>1351</v>
      </c>
      <c r="J126" s="19" t="s">
        <v>1352</v>
      </c>
      <c r="K126" s="19" t="s">
        <v>1353</v>
      </c>
      <c r="L126" s="19" t="s">
        <v>1354</v>
      </c>
      <c r="M126" s="19" t="s">
        <v>35</v>
      </c>
      <c r="N126" s="19" t="s">
        <v>36</v>
      </c>
      <c r="O126" s="19" t="s">
        <v>37</v>
      </c>
      <c r="P126" s="19" t="s">
        <v>38</v>
      </c>
      <c r="Q126" s="19" t="str">
        <f t="shared" si="1"/>
        <v>HSK1-VOCAB-122</v>
      </c>
      <c r="R126" s="19" t="str">
        <f t="shared" si="2"/>
        <v>Chinese::HSK::HSK1::Vocabulary</v>
      </c>
      <c r="S126" s="20" t="s">
        <v>1355</v>
      </c>
      <c r="T126" s="4"/>
    </row>
    <row r="127" ht="30.0" customHeight="1">
      <c r="A127" s="34" t="s">
        <v>1356</v>
      </c>
      <c r="B127" s="35" t="s">
        <v>1357</v>
      </c>
      <c r="C127" s="35" t="s">
        <v>1358</v>
      </c>
      <c r="D127" s="35" t="s">
        <v>1347</v>
      </c>
      <c r="E127" s="19" t="s">
        <v>27</v>
      </c>
      <c r="F127" s="22" t="s">
        <v>1359</v>
      </c>
      <c r="G127" s="23" t="s">
        <v>1360</v>
      </c>
      <c r="H127" s="23" t="s">
        <v>1361</v>
      </c>
      <c r="I127" s="23" t="s">
        <v>1362</v>
      </c>
      <c r="J127" s="23" t="s">
        <v>1363</v>
      </c>
      <c r="K127" s="23" t="s">
        <v>1364</v>
      </c>
      <c r="L127" s="23" t="s">
        <v>1365</v>
      </c>
      <c r="M127" s="23" t="s">
        <v>35</v>
      </c>
      <c r="N127" s="23" t="s">
        <v>36</v>
      </c>
      <c r="O127" s="23" t="s">
        <v>37</v>
      </c>
      <c r="P127" s="23" t="s">
        <v>38</v>
      </c>
      <c r="Q127" s="19" t="str">
        <f t="shared" si="1"/>
        <v>HSK1-VOCAB-123</v>
      </c>
      <c r="R127" s="19" t="str">
        <f t="shared" si="2"/>
        <v>Chinese::HSK::HSK1::Vocabulary</v>
      </c>
      <c r="S127" s="26" t="s">
        <v>1355</v>
      </c>
      <c r="T127" s="32"/>
    </row>
    <row r="128" ht="30.0" customHeight="1">
      <c r="A128" s="34" t="s">
        <v>1366</v>
      </c>
      <c r="B128" s="35" t="s">
        <v>1367</v>
      </c>
      <c r="C128" s="35" t="s">
        <v>1368</v>
      </c>
      <c r="D128" s="35" t="s">
        <v>1368</v>
      </c>
      <c r="E128" s="19" t="s">
        <v>27</v>
      </c>
      <c r="F128" s="18" t="s">
        <v>1369</v>
      </c>
      <c r="G128" s="19" t="s">
        <v>1370</v>
      </c>
      <c r="H128" s="19" t="s">
        <v>1371</v>
      </c>
      <c r="I128" s="19" t="s">
        <v>1372</v>
      </c>
      <c r="J128" s="19" t="s">
        <v>1373</v>
      </c>
      <c r="K128" s="19" t="s">
        <v>1374</v>
      </c>
      <c r="L128" s="19" t="s">
        <v>1375</v>
      </c>
      <c r="M128" s="19" t="s">
        <v>35</v>
      </c>
      <c r="N128" s="19" t="s">
        <v>36</v>
      </c>
      <c r="O128" s="19" t="s">
        <v>37</v>
      </c>
      <c r="P128" s="19" t="s">
        <v>38</v>
      </c>
      <c r="Q128" s="19" t="str">
        <f t="shared" si="1"/>
        <v>HSK1-VOCAB-124</v>
      </c>
      <c r="R128" s="19" t="str">
        <f t="shared" si="2"/>
        <v>Chinese::HSK::HSK1::Vocabulary</v>
      </c>
      <c r="S128" s="20" t="s">
        <v>1355</v>
      </c>
      <c r="T128" s="4"/>
    </row>
    <row r="129" ht="30.0" customHeight="1">
      <c r="A129" s="34" t="s">
        <v>1376</v>
      </c>
      <c r="B129" s="35" t="s">
        <v>1377</v>
      </c>
      <c r="C129" s="35" t="s">
        <v>1378</v>
      </c>
      <c r="D129" s="35" t="s">
        <v>1379</v>
      </c>
      <c r="E129" s="19" t="s">
        <v>240</v>
      </c>
      <c r="F129" s="18" t="s">
        <v>1380</v>
      </c>
      <c r="G129" s="19" t="s">
        <v>1381</v>
      </c>
      <c r="H129" s="19" t="s">
        <v>1382</v>
      </c>
      <c r="I129" s="19" t="s">
        <v>1383</v>
      </c>
      <c r="J129" s="19" t="s">
        <v>1384</v>
      </c>
      <c r="K129" s="19" t="s">
        <v>1385</v>
      </c>
      <c r="L129" s="19" t="s">
        <v>1386</v>
      </c>
      <c r="M129" s="19" t="s">
        <v>35</v>
      </c>
      <c r="N129" s="19" t="s">
        <v>36</v>
      </c>
      <c r="O129" s="19" t="s">
        <v>37</v>
      </c>
      <c r="P129" s="19" t="s">
        <v>38</v>
      </c>
      <c r="Q129" s="19" t="str">
        <f t="shared" si="1"/>
        <v>HSK1-VOCAB-125</v>
      </c>
      <c r="R129" s="19" t="str">
        <f t="shared" si="2"/>
        <v>Chinese::HSK::HSK1::Vocabulary</v>
      </c>
      <c r="S129" s="20" t="s">
        <v>1355</v>
      </c>
      <c r="T129" s="4"/>
    </row>
    <row r="130">
      <c r="A130" s="34" t="s">
        <v>1387</v>
      </c>
      <c r="B130" s="35" t="s">
        <v>1388</v>
      </c>
      <c r="C130" s="35" t="s">
        <v>1389</v>
      </c>
      <c r="D130" s="35" t="s">
        <v>1390</v>
      </c>
      <c r="E130" s="19" t="s">
        <v>513</v>
      </c>
      <c r="F130" s="18" t="s">
        <v>1391</v>
      </c>
      <c r="G130" s="19" t="s">
        <v>1392</v>
      </c>
      <c r="H130" s="19" t="s">
        <v>1393</v>
      </c>
      <c r="I130" s="19" t="s">
        <v>1394</v>
      </c>
      <c r="J130" s="19" t="s">
        <v>1395</v>
      </c>
      <c r="K130" s="19" t="s">
        <v>1396</v>
      </c>
      <c r="L130" s="19" t="s">
        <v>1397</v>
      </c>
      <c r="M130" s="19" t="s">
        <v>35</v>
      </c>
      <c r="N130" s="19" t="s">
        <v>36</v>
      </c>
      <c r="O130" s="19" t="s">
        <v>37</v>
      </c>
      <c r="P130" s="19" t="s">
        <v>38</v>
      </c>
      <c r="Q130" s="19" t="str">
        <f t="shared" si="1"/>
        <v>HSK1-VOCAB-126</v>
      </c>
      <c r="R130" s="19" t="str">
        <f t="shared" si="2"/>
        <v>Chinese::HSK::HSK1::Vocabulary</v>
      </c>
      <c r="S130" s="20" t="s">
        <v>1355</v>
      </c>
      <c r="T130" s="4"/>
    </row>
    <row r="131" ht="30.0" customHeight="1">
      <c r="A131" s="34" t="s">
        <v>1398</v>
      </c>
      <c r="B131" s="35" t="s">
        <v>1399</v>
      </c>
      <c r="C131" s="35" t="s">
        <v>1400</v>
      </c>
      <c r="D131" s="35" t="s">
        <v>1401</v>
      </c>
      <c r="E131" s="19" t="s">
        <v>513</v>
      </c>
      <c r="F131" s="22" t="s">
        <v>1402</v>
      </c>
      <c r="G131" s="23" t="s">
        <v>1403</v>
      </c>
      <c r="H131" s="23" t="s">
        <v>1404</v>
      </c>
      <c r="I131" s="23" t="s">
        <v>1405</v>
      </c>
      <c r="J131" s="23" t="s">
        <v>1406</v>
      </c>
      <c r="K131" s="23" t="s">
        <v>1407</v>
      </c>
      <c r="L131" s="23" t="s">
        <v>1408</v>
      </c>
      <c r="M131" s="23" t="s">
        <v>35</v>
      </c>
      <c r="N131" s="23" t="s">
        <v>36</v>
      </c>
      <c r="O131" s="23" t="s">
        <v>37</v>
      </c>
      <c r="P131" s="23" t="s">
        <v>38</v>
      </c>
      <c r="Q131" s="19" t="str">
        <f t="shared" si="1"/>
        <v>HSK1-VOCAB-127</v>
      </c>
      <c r="R131" s="19" t="str">
        <f t="shared" si="2"/>
        <v>Chinese::HSK::HSK1::Vocabulary</v>
      </c>
      <c r="S131" s="26" t="s">
        <v>1355</v>
      </c>
      <c r="T131" s="32"/>
    </row>
    <row r="132" ht="30.0" customHeight="1">
      <c r="A132" s="34" t="s">
        <v>1409</v>
      </c>
      <c r="B132" s="35" t="s">
        <v>1410</v>
      </c>
      <c r="C132" s="35" t="s">
        <v>1411</v>
      </c>
      <c r="D132" s="36" t="s">
        <v>1412</v>
      </c>
      <c r="E132" s="19" t="s">
        <v>513</v>
      </c>
      <c r="F132" s="37" t="s">
        <v>1413</v>
      </c>
      <c r="G132" s="19" t="s">
        <v>1414</v>
      </c>
      <c r="H132" s="19" t="s">
        <v>1415</v>
      </c>
      <c r="I132" s="19" t="s">
        <v>1416</v>
      </c>
      <c r="J132" s="19" t="s">
        <v>1417</v>
      </c>
      <c r="K132" s="19" t="s">
        <v>1418</v>
      </c>
      <c r="L132" s="19" t="s">
        <v>1419</v>
      </c>
      <c r="M132" s="19" t="s">
        <v>35</v>
      </c>
      <c r="N132" s="19" t="s">
        <v>36</v>
      </c>
      <c r="O132" s="19" t="s">
        <v>37</v>
      </c>
      <c r="P132" s="19" t="s">
        <v>38</v>
      </c>
      <c r="Q132" s="19" t="str">
        <f t="shared" si="1"/>
        <v>HSK1-VOCAB-128</v>
      </c>
      <c r="R132" s="19" t="str">
        <f t="shared" si="2"/>
        <v>Chinese::HSK::HSK1::Vocabulary</v>
      </c>
      <c r="S132" s="20" t="s">
        <v>1355</v>
      </c>
      <c r="T132" s="4"/>
    </row>
    <row r="133" ht="30.0" customHeight="1">
      <c r="A133" s="34" t="s">
        <v>1420</v>
      </c>
      <c r="B133" s="35" t="s">
        <v>1421</v>
      </c>
      <c r="C133" s="35" t="s">
        <v>1422</v>
      </c>
      <c r="D133" s="35" t="s">
        <v>1423</v>
      </c>
      <c r="E133" s="19" t="s">
        <v>513</v>
      </c>
      <c r="F133" s="18" t="s">
        <v>1424</v>
      </c>
      <c r="G133" s="19" t="s">
        <v>1425</v>
      </c>
      <c r="H133" s="19" t="s">
        <v>1426</v>
      </c>
      <c r="I133" s="19" t="s">
        <v>1427</v>
      </c>
      <c r="J133" s="19" t="s">
        <v>1428</v>
      </c>
      <c r="K133" s="19" t="s">
        <v>1429</v>
      </c>
      <c r="L133" s="19" t="s">
        <v>1430</v>
      </c>
      <c r="M133" s="19" t="s">
        <v>35</v>
      </c>
      <c r="N133" s="19" t="s">
        <v>36</v>
      </c>
      <c r="O133" s="19" t="s">
        <v>37</v>
      </c>
      <c r="P133" s="19" t="s">
        <v>38</v>
      </c>
      <c r="Q133" s="19" t="str">
        <f t="shared" si="1"/>
        <v>HSK1-VOCAB-129</v>
      </c>
      <c r="R133" s="19" t="str">
        <f t="shared" si="2"/>
        <v>Chinese::HSK::HSK1::Vocabulary</v>
      </c>
      <c r="S133" s="20" t="s">
        <v>1355</v>
      </c>
      <c r="T133" s="4"/>
    </row>
    <row r="134" ht="30.0" customHeight="1">
      <c r="A134" s="34" t="s">
        <v>1431</v>
      </c>
      <c r="B134" s="35" t="s">
        <v>1432</v>
      </c>
      <c r="C134" s="35" t="s">
        <v>1433</v>
      </c>
      <c r="D134" s="35" t="s">
        <v>1434</v>
      </c>
      <c r="E134" s="19" t="s">
        <v>513</v>
      </c>
      <c r="F134" s="18" t="s">
        <v>1435</v>
      </c>
      <c r="G134" s="19" t="s">
        <v>1436</v>
      </c>
      <c r="H134" s="19" t="s">
        <v>1437</v>
      </c>
      <c r="I134" s="19" t="s">
        <v>1438</v>
      </c>
      <c r="J134" s="19" t="s">
        <v>1439</v>
      </c>
      <c r="K134" s="19" t="s">
        <v>1440</v>
      </c>
      <c r="L134" s="19" t="s">
        <v>1441</v>
      </c>
      <c r="M134" s="19" t="s">
        <v>35</v>
      </c>
      <c r="N134" s="19" t="s">
        <v>36</v>
      </c>
      <c r="O134" s="19" t="s">
        <v>37</v>
      </c>
      <c r="P134" s="19" t="s">
        <v>38</v>
      </c>
      <c r="Q134" s="19" t="str">
        <f t="shared" si="1"/>
        <v>HSK1-VOCAB-130</v>
      </c>
      <c r="R134" s="19" t="str">
        <f t="shared" si="2"/>
        <v>Chinese::HSK::HSK1::Vocabulary</v>
      </c>
      <c r="S134" s="20" t="s">
        <v>1355</v>
      </c>
      <c r="T134" s="4"/>
    </row>
    <row r="135" ht="30.0" customHeight="1">
      <c r="A135" s="34" t="s">
        <v>1442</v>
      </c>
      <c r="B135" s="35" t="s">
        <v>1443</v>
      </c>
      <c r="C135" s="35" t="s">
        <v>1444</v>
      </c>
      <c r="D135" s="35" t="s">
        <v>1445</v>
      </c>
      <c r="E135" s="19" t="s">
        <v>27</v>
      </c>
      <c r="F135" s="18" t="s">
        <v>1446</v>
      </c>
      <c r="G135" s="19" t="s">
        <v>1447</v>
      </c>
      <c r="H135" s="19" t="s">
        <v>1448</v>
      </c>
      <c r="I135" s="19" t="s">
        <v>1449</v>
      </c>
      <c r="J135" s="19" t="s">
        <v>1450</v>
      </c>
      <c r="K135" s="19" t="s">
        <v>1451</v>
      </c>
      <c r="L135" s="19" t="s">
        <v>1452</v>
      </c>
      <c r="M135" s="19" t="s">
        <v>35</v>
      </c>
      <c r="N135" s="19" t="s">
        <v>36</v>
      </c>
      <c r="O135" s="19" t="s">
        <v>37</v>
      </c>
      <c r="P135" s="19" t="s">
        <v>38</v>
      </c>
      <c r="Q135" s="19" t="str">
        <f t="shared" si="1"/>
        <v>HSK1-VOCAB-131</v>
      </c>
      <c r="R135" s="19" t="str">
        <f t="shared" si="2"/>
        <v>Chinese::HSK::HSK1::Vocabulary</v>
      </c>
      <c r="S135" s="20" t="s">
        <v>1355</v>
      </c>
      <c r="T135" s="4"/>
    </row>
    <row r="136" ht="30.0" customHeight="1">
      <c r="A136" s="34" t="s">
        <v>1453</v>
      </c>
      <c r="B136" s="35" t="s">
        <v>1454</v>
      </c>
      <c r="C136" s="35" t="s">
        <v>1455</v>
      </c>
      <c r="D136" s="35" t="s">
        <v>1456</v>
      </c>
      <c r="E136" s="19" t="s">
        <v>27</v>
      </c>
      <c r="F136" s="18" t="s">
        <v>1457</v>
      </c>
      <c r="G136" s="19" t="s">
        <v>1458</v>
      </c>
      <c r="H136" s="19" t="s">
        <v>1459</v>
      </c>
      <c r="I136" s="19" t="s">
        <v>1460</v>
      </c>
      <c r="J136" s="19" t="s">
        <v>1461</v>
      </c>
      <c r="K136" s="19" t="s">
        <v>1462</v>
      </c>
      <c r="L136" s="19" t="s">
        <v>1463</v>
      </c>
      <c r="M136" s="19" t="s">
        <v>35</v>
      </c>
      <c r="N136" s="19" t="s">
        <v>36</v>
      </c>
      <c r="O136" s="19" t="s">
        <v>37</v>
      </c>
      <c r="P136" s="19" t="s">
        <v>38</v>
      </c>
      <c r="Q136" s="19" t="str">
        <f t="shared" si="1"/>
        <v>HSK1-VOCAB-132</v>
      </c>
      <c r="R136" s="19" t="str">
        <f t="shared" si="2"/>
        <v>Chinese::HSK::HSK1::Vocabulary</v>
      </c>
      <c r="S136" s="20" t="s">
        <v>1355</v>
      </c>
      <c r="T136" s="4"/>
    </row>
    <row r="137" ht="30.0" customHeight="1">
      <c r="A137" s="34" t="s">
        <v>1464</v>
      </c>
      <c r="B137" s="35" t="s">
        <v>1465</v>
      </c>
      <c r="C137" s="35" t="s">
        <v>1466</v>
      </c>
      <c r="D137" s="35" t="s">
        <v>1467</v>
      </c>
      <c r="E137" s="19" t="s">
        <v>318</v>
      </c>
      <c r="F137" s="18" t="s">
        <v>1468</v>
      </c>
      <c r="G137" s="19" t="s">
        <v>1469</v>
      </c>
      <c r="H137" s="19" t="s">
        <v>1470</v>
      </c>
      <c r="I137" s="19" t="s">
        <v>1471</v>
      </c>
      <c r="J137" s="19" t="s">
        <v>1472</v>
      </c>
      <c r="K137" s="19" t="s">
        <v>1473</v>
      </c>
      <c r="L137" s="19" t="s">
        <v>1474</v>
      </c>
      <c r="M137" s="19" t="s">
        <v>35</v>
      </c>
      <c r="N137" s="19" t="s">
        <v>36</v>
      </c>
      <c r="O137" s="19" t="s">
        <v>37</v>
      </c>
      <c r="P137" s="19" t="s">
        <v>38</v>
      </c>
      <c r="Q137" s="19" t="str">
        <f t="shared" si="1"/>
        <v>HSK1-VOCAB-133</v>
      </c>
      <c r="R137" s="19" t="str">
        <f t="shared" si="2"/>
        <v>Chinese::HSK::HSK1::Vocabulary</v>
      </c>
      <c r="S137" s="20" t="s">
        <v>1355</v>
      </c>
      <c r="T137" s="4"/>
    </row>
    <row r="138" ht="30.0" customHeight="1">
      <c r="A138" s="34" t="s">
        <v>1475</v>
      </c>
      <c r="B138" s="35" t="s">
        <v>1476</v>
      </c>
      <c r="C138" s="35" t="s">
        <v>1477</v>
      </c>
      <c r="D138" s="35" t="s">
        <v>1478</v>
      </c>
      <c r="E138" s="19" t="s">
        <v>27</v>
      </c>
      <c r="F138" s="18" t="s">
        <v>1479</v>
      </c>
      <c r="G138" s="19" t="s">
        <v>1480</v>
      </c>
      <c r="H138" s="19" t="s">
        <v>1481</v>
      </c>
      <c r="I138" s="19" t="s">
        <v>1482</v>
      </c>
      <c r="J138" s="19" t="s">
        <v>1483</v>
      </c>
      <c r="K138" s="19" t="s">
        <v>1484</v>
      </c>
      <c r="L138" s="19" t="s">
        <v>1485</v>
      </c>
      <c r="M138" s="19" t="s">
        <v>35</v>
      </c>
      <c r="N138" s="19" t="s">
        <v>36</v>
      </c>
      <c r="O138" s="19" t="s">
        <v>37</v>
      </c>
      <c r="P138" s="19" t="s">
        <v>38</v>
      </c>
      <c r="Q138" s="19" t="str">
        <f t="shared" si="1"/>
        <v>HSK1-VOCAB-134</v>
      </c>
      <c r="R138" s="19" t="str">
        <f t="shared" si="2"/>
        <v>Chinese::HSK::HSK1::Vocabulary</v>
      </c>
      <c r="S138" s="20" t="s">
        <v>1355</v>
      </c>
      <c r="T138" s="4"/>
    </row>
    <row r="139" ht="30.0" customHeight="1">
      <c r="A139" s="34" t="s">
        <v>1486</v>
      </c>
      <c r="B139" s="35" t="s">
        <v>1487</v>
      </c>
      <c r="C139" s="35" t="s">
        <v>1477</v>
      </c>
      <c r="D139" s="35" t="s">
        <v>1488</v>
      </c>
      <c r="E139" s="20" t="s">
        <v>1489</v>
      </c>
      <c r="F139" s="18" t="s">
        <v>1490</v>
      </c>
      <c r="G139" s="19" t="s">
        <v>1491</v>
      </c>
      <c r="H139" s="19" t="s">
        <v>1492</v>
      </c>
      <c r="I139" s="19" t="s">
        <v>1493</v>
      </c>
      <c r="J139" s="19" t="s">
        <v>1494</v>
      </c>
      <c r="K139" s="19" t="s">
        <v>1495</v>
      </c>
      <c r="L139" s="19" t="s">
        <v>1496</v>
      </c>
      <c r="M139" s="19" t="s">
        <v>35</v>
      </c>
      <c r="N139" s="19" t="s">
        <v>36</v>
      </c>
      <c r="O139" s="19" t="s">
        <v>37</v>
      </c>
      <c r="P139" s="19" t="s">
        <v>38</v>
      </c>
      <c r="Q139" s="19" t="str">
        <f t="shared" si="1"/>
        <v>HSK1-VOCAB-135</v>
      </c>
      <c r="R139" s="19" t="str">
        <f t="shared" si="2"/>
        <v>Chinese::HSK::HSK1::Vocabulary</v>
      </c>
      <c r="S139" s="20" t="s">
        <v>1355</v>
      </c>
      <c r="T139" s="4"/>
    </row>
    <row r="140" ht="30.0" customHeight="1">
      <c r="A140" s="34" t="s">
        <v>1497</v>
      </c>
      <c r="B140" s="35" t="s">
        <v>1498</v>
      </c>
      <c r="C140" s="35" t="s">
        <v>1499</v>
      </c>
      <c r="D140" s="35" t="s">
        <v>1500</v>
      </c>
      <c r="E140" s="19" t="s">
        <v>27</v>
      </c>
      <c r="F140" s="18" t="s">
        <v>1501</v>
      </c>
      <c r="G140" s="19" t="s">
        <v>1502</v>
      </c>
      <c r="H140" s="19" t="s">
        <v>1503</v>
      </c>
      <c r="I140" s="19" t="s">
        <v>1504</v>
      </c>
      <c r="J140" s="19" t="s">
        <v>1505</v>
      </c>
      <c r="K140" s="19" t="s">
        <v>1506</v>
      </c>
      <c r="L140" s="19" t="s">
        <v>1507</v>
      </c>
      <c r="M140" s="19" t="s">
        <v>35</v>
      </c>
      <c r="N140" s="19" t="s">
        <v>36</v>
      </c>
      <c r="O140" s="19" t="s">
        <v>37</v>
      </c>
      <c r="P140" s="19" t="s">
        <v>38</v>
      </c>
      <c r="Q140" s="19" t="str">
        <f t="shared" si="1"/>
        <v>HSK1-VOCAB-136</v>
      </c>
      <c r="R140" s="19" t="str">
        <f t="shared" si="2"/>
        <v>Chinese::HSK::HSK1::Vocabulary</v>
      </c>
      <c r="S140" s="20" t="s">
        <v>1355</v>
      </c>
      <c r="T140" s="4"/>
    </row>
    <row r="141" ht="30.0" customHeight="1">
      <c r="A141" s="34" t="s">
        <v>1508</v>
      </c>
      <c r="B141" s="35" t="s">
        <v>1509</v>
      </c>
      <c r="C141" s="35" t="s">
        <v>1510</v>
      </c>
      <c r="D141" s="35" t="s">
        <v>1511</v>
      </c>
      <c r="E141" s="19" t="s">
        <v>27</v>
      </c>
      <c r="F141" s="18" t="s">
        <v>1512</v>
      </c>
      <c r="G141" s="19" t="s">
        <v>1513</v>
      </c>
      <c r="H141" s="19" t="s">
        <v>1514</v>
      </c>
      <c r="I141" s="19" t="s">
        <v>1515</v>
      </c>
      <c r="J141" s="19" t="s">
        <v>1516</v>
      </c>
      <c r="K141" s="19" t="s">
        <v>1517</v>
      </c>
      <c r="L141" s="19" t="s">
        <v>1518</v>
      </c>
      <c r="M141" s="19" t="s">
        <v>35</v>
      </c>
      <c r="N141" s="19" t="s">
        <v>36</v>
      </c>
      <c r="O141" s="19" t="s">
        <v>37</v>
      </c>
      <c r="P141" s="19" t="s">
        <v>38</v>
      </c>
      <c r="Q141" s="19" t="str">
        <f t="shared" si="1"/>
        <v>HSK1-VOCAB-137</v>
      </c>
      <c r="R141" s="19" t="str">
        <f t="shared" si="2"/>
        <v>Chinese::HSK::HSK1::Vocabulary</v>
      </c>
      <c r="S141" s="20" t="s">
        <v>1355</v>
      </c>
      <c r="T141" s="4"/>
    </row>
    <row r="142" ht="30.0" customHeight="1">
      <c r="A142" s="34" t="s">
        <v>1519</v>
      </c>
      <c r="B142" s="35" t="s">
        <v>1520</v>
      </c>
      <c r="C142" s="35" t="s">
        <v>1521</v>
      </c>
      <c r="D142" s="36" t="s">
        <v>1522</v>
      </c>
      <c r="E142" s="19" t="s">
        <v>513</v>
      </c>
      <c r="F142" s="18" t="s">
        <v>1523</v>
      </c>
      <c r="G142" s="19" t="s">
        <v>1524</v>
      </c>
      <c r="H142" s="19" t="s">
        <v>1525</v>
      </c>
      <c r="I142" s="19" t="s">
        <v>1526</v>
      </c>
      <c r="J142" s="19" t="s">
        <v>1527</v>
      </c>
      <c r="K142" s="19" t="s">
        <v>1528</v>
      </c>
      <c r="L142" s="19" t="s">
        <v>1279</v>
      </c>
      <c r="M142" s="19" t="s">
        <v>35</v>
      </c>
      <c r="N142" s="19" t="s">
        <v>36</v>
      </c>
      <c r="O142" s="19" t="s">
        <v>37</v>
      </c>
      <c r="P142" s="19" t="s">
        <v>38</v>
      </c>
      <c r="Q142" s="19" t="str">
        <f t="shared" si="1"/>
        <v>HSK1-VOCAB-138</v>
      </c>
      <c r="R142" s="19" t="str">
        <f t="shared" si="2"/>
        <v>Chinese::HSK::HSK1::Vocabulary</v>
      </c>
      <c r="S142" s="20" t="s">
        <v>1355</v>
      </c>
      <c r="T142" s="4"/>
    </row>
    <row r="143" ht="30.0" customHeight="1">
      <c r="A143" s="34" t="s">
        <v>1529</v>
      </c>
      <c r="B143" s="35" t="s">
        <v>1530</v>
      </c>
      <c r="C143" s="35" t="s">
        <v>1531</v>
      </c>
      <c r="D143" s="35" t="s">
        <v>1532</v>
      </c>
      <c r="E143" s="19" t="s">
        <v>27</v>
      </c>
      <c r="F143" s="31" t="s">
        <v>1533</v>
      </c>
      <c r="G143" s="19" t="s">
        <v>1534</v>
      </c>
      <c r="H143" s="19" t="s">
        <v>1535</v>
      </c>
      <c r="I143" s="19" t="s">
        <v>1536</v>
      </c>
      <c r="J143" s="19" t="s">
        <v>1537</v>
      </c>
      <c r="K143" s="19" t="s">
        <v>1538</v>
      </c>
      <c r="L143" s="19" t="s">
        <v>1539</v>
      </c>
      <c r="M143" s="19" t="s">
        <v>35</v>
      </c>
      <c r="N143" s="19" t="s">
        <v>36</v>
      </c>
      <c r="O143" s="19" t="s">
        <v>37</v>
      </c>
      <c r="P143" s="19" t="s">
        <v>38</v>
      </c>
      <c r="Q143" s="19" t="str">
        <f t="shared" si="1"/>
        <v>HSK1-VOCAB-139</v>
      </c>
      <c r="R143" s="19" t="str">
        <f t="shared" si="2"/>
        <v>Chinese::HSK::HSK1::Vocabulary</v>
      </c>
      <c r="S143" s="20" t="s">
        <v>1355</v>
      </c>
      <c r="T143" s="4"/>
    </row>
    <row r="144" ht="30.0" customHeight="1">
      <c r="A144" s="34" t="s">
        <v>1540</v>
      </c>
      <c r="B144" s="35" t="s">
        <v>1541</v>
      </c>
      <c r="C144" s="35" t="s">
        <v>1542</v>
      </c>
      <c r="D144" s="36" t="s">
        <v>1543</v>
      </c>
      <c r="E144" s="19" t="s">
        <v>27</v>
      </c>
      <c r="F144" s="18" t="s">
        <v>1544</v>
      </c>
      <c r="G144" s="19" t="s">
        <v>1545</v>
      </c>
      <c r="H144" s="19" t="s">
        <v>1546</v>
      </c>
      <c r="I144" s="19" t="s">
        <v>1547</v>
      </c>
      <c r="J144" s="19" t="s">
        <v>1548</v>
      </c>
      <c r="K144" s="19" t="s">
        <v>1549</v>
      </c>
      <c r="L144" s="19" t="s">
        <v>1550</v>
      </c>
      <c r="M144" s="19" t="s">
        <v>35</v>
      </c>
      <c r="N144" s="19" t="s">
        <v>36</v>
      </c>
      <c r="O144" s="19" t="s">
        <v>37</v>
      </c>
      <c r="P144" s="19" t="s">
        <v>38</v>
      </c>
      <c r="Q144" s="19" t="str">
        <f t="shared" si="1"/>
        <v>HSK1-VOCAB-140</v>
      </c>
      <c r="R144" s="19" t="str">
        <f t="shared" si="2"/>
        <v>Chinese::HSK::HSK1::Vocabulary</v>
      </c>
      <c r="S144" s="20" t="s">
        <v>1355</v>
      </c>
      <c r="T144" s="4"/>
    </row>
    <row r="145" ht="30.0" customHeight="1">
      <c r="A145" s="34" t="s">
        <v>1551</v>
      </c>
      <c r="B145" s="35" t="s">
        <v>1552</v>
      </c>
      <c r="C145" s="35" t="s">
        <v>1553</v>
      </c>
      <c r="D145" s="35" t="s">
        <v>1554</v>
      </c>
      <c r="E145" s="19" t="s">
        <v>27</v>
      </c>
      <c r="F145" s="18" t="s">
        <v>1555</v>
      </c>
      <c r="G145" s="19" t="s">
        <v>1556</v>
      </c>
      <c r="H145" s="19" t="s">
        <v>1557</v>
      </c>
      <c r="I145" s="19" t="s">
        <v>1558</v>
      </c>
      <c r="J145" s="19" t="s">
        <v>1559</v>
      </c>
      <c r="K145" s="19" t="s">
        <v>1560</v>
      </c>
      <c r="L145" s="19" t="s">
        <v>1561</v>
      </c>
      <c r="M145" s="19" t="s">
        <v>35</v>
      </c>
      <c r="N145" s="19" t="s">
        <v>36</v>
      </c>
      <c r="O145" s="19" t="s">
        <v>37</v>
      </c>
      <c r="P145" s="19" t="s">
        <v>38</v>
      </c>
      <c r="Q145" s="19" t="str">
        <f t="shared" si="1"/>
        <v>HSK1-VOCAB-141</v>
      </c>
      <c r="R145" s="19" t="str">
        <f t="shared" si="2"/>
        <v>Chinese::HSK::HSK1::Vocabulary</v>
      </c>
      <c r="S145" s="20" t="s">
        <v>1355</v>
      </c>
      <c r="T145" s="4"/>
    </row>
    <row r="146" ht="30.0" customHeight="1">
      <c r="A146" s="34" t="s">
        <v>1562</v>
      </c>
      <c r="B146" s="35" t="s">
        <v>1563</v>
      </c>
      <c r="C146" s="35" t="s">
        <v>1564</v>
      </c>
      <c r="D146" s="35" t="s">
        <v>1565</v>
      </c>
      <c r="E146" s="19" t="s">
        <v>27</v>
      </c>
      <c r="F146" s="18" t="s">
        <v>1566</v>
      </c>
      <c r="G146" s="19" t="s">
        <v>1567</v>
      </c>
      <c r="H146" s="19" t="s">
        <v>1568</v>
      </c>
      <c r="I146" s="19" t="s">
        <v>1569</v>
      </c>
      <c r="J146" s="19" t="s">
        <v>1570</v>
      </c>
      <c r="K146" s="19" t="s">
        <v>1571</v>
      </c>
      <c r="L146" s="19" t="s">
        <v>1572</v>
      </c>
      <c r="M146" s="19" t="s">
        <v>35</v>
      </c>
      <c r="N146" s="19" t="s">
        <v>36</v>
      </c>
      <c r="O146" s="19" t="s">
        <v>37</v>
      </c>
      <c r="P146" s="19" t="s">
        <v>38</v>
      </c>
      <c r="Q146" s="19" t="str">
        <f t="shared" si="1"/>
        <v>HSK1-VOCAB-142</v>
      </c>
      <c r="R146" s="19" t="str">
        <f t="shared" si="2"/>
        <v>Chinese::HSK::HSK1::Vocabulary</v>
      </c>
      <c r="S146" s="20" t="s">
        <v>1355</v>
      </c>
      <c r="T146" s="4"/>
    </row>
    <row r="147" ht="30.0" customHeight="1">
      <c r="A147" s="34" t="s">
        <v>1573</v>
      </c>
      <c r="B147" s="35" t="s">
        <v>1574</v>
      </c>
      <c r="C147" s="35" t="s">
        <v>1575</v>
      </c>
      <c r="D147" s="35" t="s">
        <v>1576</v>
      </c>
      <c r="E147" s="19" t="s">
        <v>240</v>
      </c>
      <c r="F147" s="18" t="s">
        <v>1577</v>
      </c>
      <c r="G147" s="19" t="s">
        <v>1578</v>
      </c>
      <c r="H147" s="19" t="s">
        <v>1579</v>
      </c>
      <c r="I147" s="19" t="s">
        <v>1580</v>
      </c>
      <c r="J147" s="19" t="s">
        <v>1581</v>
      </c>
      <c r="K147" s="19" t="s">
        <v>1582</v>
      </c>
      <c r="L147" s="19" t="s">
        <v>1583</v>
      </c>
      <c r="M147" s="19" t="s">
        <v>35</v>
      </c>
      <c r="N147" s="19" t="s">
        <v>36</v>
      </c>
      <c r="O147" s="19" t="s">
        <v>37</v>
      </c>
      <c r="P147" s="19" t="s">
        <v>38</v>
      </c>
      <c r="Q147" s="19" t="str">
        <f t="shared" si="1"/>
        <v>HSK1-VOCAB-143</v>
      </c>
      <c r="R147" s="19" t="str">
        <f t="shared" si="2"/>
        <v>Chinese::HSK::HSK1::Vocabulary</v>
      </c>
      <c r="S147" s="20" t="s">
        <v>1355</v>
      </c>
      <c r="T147" s="4"/>
    </row>
    <row r="148" ht="30.0" customHeight="1">
      <c r="A148" s="34" t="s">
        <v>1584</v>
      </c>
      <c r="B148" s="35" t="s">
        <v>1585</v>
      </c>
      <c r="C148" s="35" t="s">
        <v>1586</v>
      </c>
      <c r="D148" s="35" t="s">
        <v>1587</v>
      </c>
      <c r="E148" s="19" t="s">
        <v>27</v>
      </c>
      <c r="F148" s="18" t="s">
        <v>1588</v>
      </c>
      <c r="G148" s="19" t="s">
        <v>1589</v>
      </c>
      <c r="H148" s="19" t="s">
        <v>1590</v>
      </c>
      <c r="I148" s="19" t="s">
        <v>1591</v>
      </c>
      <c r="J148" s="19" t="s">
        <v>1592</v>
      </c>
      <c r="K148" s="19" t="s">
        <v>1593</v>
      </c>
      <c r="L148" s="19" t="s">
        <v>95</v>
      </c>
      <c r="M148" s="19" t="s">
        <v>35</v>
      </c>
      <c r="N148" s="19" t="s">
        <v>36</v>
      </c>
      <c r="O148" s="19" t="s">
        <v>37</v>
      </c>
      <c r="P148" s="19" t="s">
        <v>38</v>
      </c>
      <c r="Q148" s="19" t="str">
        <f t="shared" si="1"/>
        <v>HSK1-VOCAB-144</v>
      </c>
      <c r="R148" s="19" t="str">
        <f t="shared" si="2"/>
        <v>Chinese::HSK::HSK1::Vocabulary</v>
      </c>
      <c r="S148" s="20" t="s">
        <v>1355</v>
      </c>
      <c r="T148" s="4"/>
    </row>
    <row r="149" ht="30.0" customHeight="1">
      <c r="A149" s="34" t="s">
        <v>1594</v>
      </c>
      <c r="B149" s="35" t="s">
        <v>1595</v>
      </c>
      <c r="C149" s="35" t="s">
        <v>1596</v>
      </c>
      <c r="D149" s="35" t="s">
        <v>1597</v>
      </c>
      <c r="E149" s="19" t="s">
        <v>27</v>
      </c>
      <c r="F149" s="18" t="s">
        <v>1598</v>
      </c>
      <c r="G149" s="19" t="s">
        <v>1599</v>
      </c>
      <c r="H149" s="19" t="s">
        <v>1600</v>
      </c>
      <c r="I149" s="19" t="s">
        <v>1601</v>
      </c>
      <c r="J149" s="19" t="s">
        <v>1602</v>
      </c>
      <c r="K149" s="19" t="s">
        <v>1603</v>
      </c>
      <c r="L149" s="19" t="s">
        <v>1604</v>
      </c>
      <c r="M149" s="19" t="s">
        <v>35</v>
      </c>
      <c r="N149" s="19" t="s">
        <v>36</v>
      </c>
      <c r="O149" s="19" t="s">
        <v>37</v>
      </c>
      <c r="P149" s="19" t="s">
        <v>38</v>
      </c>
      <c r="Q149" s="19" t="str">
        <f t="shared" si="1"/>
        <v>HSK1-VOCAB-145</v>
      </c>
      <c r="R149" s="19" t="str">
        <f t="shared" si="2"/>
        <v>Chinese::HSK::HSK1::Vocabulary</v>
      </c>
      <c r="S149" s="20" t="s">
        <v>1355</v>
      </c>
      <c r="T149" s="4"/>
    </row>
    <row r="150" ht="30.0" customHeight="1">
      <c r="A150" s="34" t="s">
        <v>1605</v>
      </c>
      <c r="B150" s="35" t="s">
        <v>1606</v>
      </c>
      <c r="C150" s="36" t="s">
        <v>1607</v>
      </c>
      <c r="D150" s="36" t="s">
        <v>1608</v>
      </c>
      <c r="E150" s="19" t="s">
        <v>27</v>
      </c>
      <c r="F150" s="31" t="s">
        <v>1609</v>
      </c>
      <c r="G150" s="19" t="s">
        <v>1610</v>
      </c>
      <c r="H150" s="19" t="s">
        <v>1611</v>
      </c>
      <c r="I150" s="19" t="s">
        <v>1612</v>
      </c>
      <c r="J150" s="19" t="s">
        <v>1613</v>
      </c>
      <c r="K150" s="19" t="s">
        <v>1614</v>
      </c>
      <c r="L150" s="19" t="s">
        <v>1615</v>
      </c>
      <c r="M150" s="19" t="s">
        <v>35</v>
      </c>
      <c r="N150" s="19" t="s">
        <v>36</v>
      </c>
      <c r="O150" s="19" t="s">
        <v>37</v>
      </c>
      <c r="P150" s="19" t="s">
        <v>38</v>
      </c>
      <c r="Q150" s="19" t="str">
        <f t="shared" si="1"/>
        <v>HSK1-VOCAB-146</v>
      </c>
      <c r="R150" s="19" t="str">
        <f t="shared" si="2"/>
        <v>Chinese::HSK::HSK1::Vocabulary</v>
      </c>
      <c r="S150" s="20" t="s">
        <v>1355</v>
      </c>
      <c r="T150" s="4"/>
    </row>
    <row r="151" ht="30.0" customHeight="1">
      <c r="A151" s="34" t="s">
        <v>1616</v>
      </c>
      <c r="B151" s="35" t="s">
        <v>1617</v>
      </c>
      <c r="C151" s="36" t="s">
        <v>1618</v>
      </c>
      <c r="D151" s="35" t="str">
        <f>vi_translate(C151)</f>
        <v>muốn / nghĩ / nhớ</v>
      </c>
      <c r="E151" s="19" t="s">
        <v>513</v>
      </c>
      <c r="F151" s="18" t="s">
        <v>1619</v>
      </c>
      <c r="G151" s="19" t="s">
        <v>1620</v>
      </c>
      <c r="H151" s="19" t="s">
        <v>1621</v>
      </c>
      <c r="I151" s="19" t="s">
        <v>1622</v>
      </c>
      <c r="J151" s="19" t="s">
        <v>1623</v>
      </c>
      <c r="K151" s="19" t="s">
        <v>1624</v>
      </c>
      <c r="L151" s="19" t="s">
        <v>1625</v>
      </c>
      <c r="M151" s="19" t="s">
        <v>35</v>
      </c>
      <c r="N151" s="19" t="s">
        <v>36</v>
      </c>
      <c r="O151" s="19" t="s">
        <v>37</v>
      </c>
      <c r="P151" s="19" t="s">
        <v>38</v>
      </c>
      <c r="Q151" s="19" t="str">
        <f t="shared" si="1"/>
        <v>HSK1-VOCAB-147</v>
      </c>
      <c r="R151" s="19" t="str">
        <f t="shared" si="2"/>
        <v>Chinese::HSK::HSK1::Vocabulary</v>
      </c>
      <c r="S151" s="20" t="s">
        <v>1355</v>
      </c>
      <c r="T151" s="4"/>
    </row>
    <row r="152" ht="30.0" customHeight="1">
      <c r="A152" s="34" t="s">
        <v>1626</v>
      </c>
      <c r="B152" s="35" t="s">
        <v>1627</v>
      </c>
      <c r="C152" s="35" t="s">
        <v>1628</v>
      </c>
      <c r="D152" s="35" t="s">
        <v>1629</v>
      </c>
      <c r="E152" s="19" t="s">
        <v>27</v>
      </c>
      <c r="F152" s="22" t="s">
        <v>1630</v>
      </c>
      <c r="G152" s="23" t="s">
        <v>1631</v>
      </c>
      <c r="H152" s="23" t="s">
        <v>1632</v>
      </c>
      <c r="I152" s="23" t="s">
        <v>1633</v>
      </c>
      <c r="J152" s="23" t="s">
        <v>1634</v>
      </c>
      <c r="K152" s="23" t="s">
        <v>1635</v>
      </c>
      <c r="L152" s="23" t="s">
        <v>1636</v>
      </c>
      <c r="M152" s="23" t="s">
        <v>35</v>
      </c>
      <c r="N152" s="23" t="s">
        <v>36</v>
      </c>
      <c r="O152" s="23" t="s">
        <v>37</v>
      </c>
      <c r="P152" s="23" t="s">
        <v>38</v>
      </c>
      <c r="Q152" s="19" t="str">
        <f t="shared" si="1"/>
        <v>HSK1-VOCAB-148</v>
      </c>
      <c r="R152" s="19" t="str">
        <f t="shared" si="2"/>
        <v>Chinese::HSK::HSK1::Vocabulary</v>
      </c>
      <c r="S152" s="26" t="s">
        <v>1355</v>
      </c>
      <c r="T152" s="32"/>
    </row>
    <row r="153" ht="30.0" customHeight="1">
      <c r="A153" s="34" t="s">
        <v>1637</v>
      </c>
      <c r="B153" s="35" t="s">
        <v>1638</v>
      </c>
      <c r="C153" s="35" t="s">
        <v>1639</v>
      </c>
      <c r="D153" s="35" t="s">
        <v>1640</v>
      </c>
      <c r="E153" s="19" t="s">
        <v>27</v>
      </c>
      <c r="F153" s="18" t="s">
        <v>1641</v>
      </c>
      <c r="G153" s="19" t="s">
        <v>1642</v>
      </c>
      <c r="H153" s="19" t="s">
        <v>1643</v>
      </c>
      <c r="I153" s="19" t="s">
        <v>1644</v>
      </c>
      <c r="J153" s="19" t="s">
        <v>1645</v>
      </c>
      <c r="K153" s="19" t="s">
        <v>1646</v>
      </c>
      <c r="L153" s="19" t="s">
        <v>1647</v>
      </c>
      <c r="M153" s="19" t="s">
        <v>35</v>
      </c>
      <c r="N153" s="19" t="s">
        <v>36</v>
      </c>
      <c r="O153" s="19" t="s">
        <v>37</v>
      </c>
      <c r="P153" s="19" t="s">
        <v>38</v>
      </c>
      <c r="Q153" s="19" t="str">
        <f t="shared" si="1"/>
        <v>HSK1-VOCAB-149</v>
      </c>
      <c r="R153" s="19" t="str">
        <f t="shared" si="2"/>
        <v>Chinese::HSK::HSK1::Vocabulary</v>
      </c>
      <c r="S153" s="20" t="s">
        <v>1355</v>
      </c>
      <c r="T153" s="4"/>
    </row>
    <row r="154" ht="30.0" customHeight="1">
      <c r="A154" s="34" t="s">
        <v>1648</v>
      </c>
      <c r="B154" s="35" t="s">
        <v>1649</v>
      </c>
      <c r="C154" s="35" t="s">
        <v>1650</v>
      </c>
      <c r="D154" s="36" t="s">
        <v>1651</v>
      </c>
      <c r="E154" s="19" t="s">
        <v>27</v>
      </c>
      <c r="F154" s="38" t="s">
        <v>1652</v>
      </c>
      <c r="G154" s="23" t="s">
        <v>1653</v>
      </c>
      <c r="H154" s="23" t="s">
        <v>1654</v>
      </c>
      <c r="I154" s="23" t="s">
        <v>1655</v>
      </c>
      <c r="J154" s="23" t="s">
        <v>1656</v>
      </c>
      <c r="K154" s="23" t="s">
        <v>1657</v>
      </c>
      <c r="L154" s="23" t="s">
        <v>1658</v>
      </c>
      <c r="M154" s="23" t="s">
        <v>35</v>
      </c>
      <c r="N154" s="23" t="s">
        <v>36</v>
      </c>
      <c r="O154" s="23" t="s">
        <v>37</v>
      </c>
      <c r="P154" s="23" t="s">
        <v>38</v>
      </c>
      <c r="Q154" s="19" t="str">
        <f t="shared" si="1"/>
        <v>HSK1-VOCAB-150</v>
      </c>
      <c r="R154" s="19" t="str">
        <f t="shared" si="2"/>
        <v>Chinese::HSK::HSK1::Vocabulary</v>
      </c>
      <c r="S154" s="26" t="s">
        <v>1355</v>
      </c>
      <c r="T154" s="32"/>
    </row>
    <row r="155" ht="30.0" customHeight="1">
      <c r="A155" s="34" t="s">
        <v>1659</v>
      </c>
      <c r="B155" s="35" t="s">
        <v>1660</v>
      </c>
      <c r="C155" s="35" t="s">
        <v>1661</v>
      </c>
      <c r="D155" s="35" t="s">
        <v>1662</v>
      </c>
      <c r="E155" s="19" t="s">
        <v>240</v>
      </c>
      <c r="F155" s="18" t="s">
        <v>1663</v>
      </c>
      <c r="G155" s="19" t="s">
        <v>1664</v>
      </c>
      <c r="H155" s="19" t="s">
        <v>1665</v>
      </c>
      <c r="I155" s="19" t="s">
        <v>1666</v>
      </c>
      <c r="J155" s="19" t="s">
        <v>1667</v>
      </c>
      <c r="K155" s="19" t="s">
        <v>1668</v>
      </c>
      <c r="L155" s="19" t="s">
        <v>1669</v>
      </c>
      <c r="M155" s="19" t="s">
        <v>35</v>
      </c>
      <c r="N155" s="19" t="s">
        <v>36</v>
      </c>
      <c r="O155" s="19" t="s">
        <v>37</v>
      </c>
      <c r="P155" s="19" t="s">
        <v>38</v>
      </c>
      <c r="Q155" s="19" t="str">
        <f t="shared" si="1"/>
        <v>HSK1-VOCAB-151</v>
      </c>
      <c r="R155" s="19" t="str">
        <f t="shared" si="2"/>
        <v>Chinese::HSK::HSK1::Vocabulary</v>
      </c>
      <c r="S155" s="20" t="s">
        <v>1355</v>
      </c>
      <c r="T155" s="4"/>
    </row>
    <row r="156" ht="30.0" customHeight="1">
      <c r="A156" s="34" t="s">
        <v>1670</v>
      </c>
      <c r="B156" s="35" t="s">
        <v>1671</v>
      </c>
      <c r="C156" s="35" t="s">
        <v>1672</v>
      </c>
      <c r="D156" s="35" t="s">
        <v>1673</v>
      </c>
      <c r="E156" s="19" t="s">
        <v>27</v>
      </c>
      <c r="F156" s="18" t="s">
        <v>1674</v>
      </c>
      <c r="G156" s="19" t="s">
        <v>1675</v>
      </c>
      <c r="H156" s="19" t="s">
        <v>1676</v>
      </c>
      <c r="I156" s="19" t="s">
        <v>1677</v>
      </c>
      <c r="J156" s="19" t="s">
        <v>1678</v>
      </c>
      <c r="K156" s="19" t="s">
        <v>1679</v>
      </c>
      <c r="L156" s="19" t="s">
        <v>1680</v>
      </c>
      <c r="M156" s="19" t="s">
        <v>35</v>
      </c>
      <c r="N156" s="19" t="s">
        <v>36</v>
      </c>
      <c r="O156" s="19" t="s">
        <v>37</v>
      </c>
      <c r="P156" s="19" t="s">
        <v>38</v>
      </c>
      <c r="Q156" s="19" t="str">
        <f t="shared" si="1"/>
        <v>HSK1-VOCAB-152</v>
      </c>
      <c r="R156" s="19" t="str">
        <f t="shared" si="2"/>
        <v>Chinese::HSK::HSK1::Vocabulary</v>
      </c>
      <c r="S156" s="20" t="s">
        <v>1355</v>
      </c>
      <c r="T156" s="4"/>
    </row>
    <row r="157" ht="30.0" customHeight="1">
      <c r="A157" s="34" t="s">
        <v>1681</v>
      </c>
      <c r="B157" s="35" t="s">
        <v>1682</v>
      </c>
      <c r="C157" s="35" t="s">
        <v>1683</v>
      </c>
      <c r="D157" s="35" t="s">
        <v>1684</v>
      </c>
      <c r="E157" s="19" t="s">
        <v>27</v>
      </c>
      <c r="F157" s="18" t="s">
        <v>1685</v>
      </c>
      <c r="G157" s="19" t="s">
        <v>1686</v>
      </c>
      <c r="H157" s="19" t="s">
        <v>1687</v>
      </c>
      <c r="I157" s="19" t="s">
        <v>1688</v>
      </c>
      <c r="J157" s="19" t="s">
        <v>1689</v>
      </c>
      <c r="K157" s="19" t="s">
        <v>1690</v>
      </c>
      <c r="L157" s="19" t="s">
        <v>1691</v>
      </c>
      <c r="M157" s="19" t="s">
        <v>35</v>
      </c>
      <c r="N157" s="19" t="s">
        <v>36</v>
      </c>
      <c r="O157" s="19" t="s">
        <v>37</v>
      </c>
      <c r="P157" s="19" t="s">
        <v>38</v>
      </c>
      <c r="Q157" s="19" t="str">
        <f t="shared" si="1"/>
        <v>HSK1-VOCAB-153</v>
      </c>
      <c r="R157" s="19" t="str">
        <f t="shared" si="2"/>
        <v>Chinese::HSK::HSK1::Vocabulary</v>
      </c>
      <c r="S157" s="20" t="s">
        <v>1355</v>
      </c>
      <c r="T157" s="4"/>
    </row>
    <row r="158" ht="30.0" customHeight="1">
      <c r="A158" s="34" t="s">
        <v>1692</v>
      </c>
      <c r="B158" s="35" t="s">
        <v>1693</v>
      </c>
      <c r="C158" s="35" t="s">
        <v>1694</v>
      </c>
      <c r="D158" s="35" t="s">
        <v>1695</v>
      </c>
      <c r="E158" s="19" t="s">
        <v>27</v>
      </c>
      <c r="F158" s="18" t="s">
        <v>1696</v>
      </c>
      <c r="G158" s="19" t="s">
        <v>1697</v>
      </c>
      <c r="H158" s="19" t="s">
        <v>1698</v>
      </c>
      <c r="I158" s="19" t="s">
        <v>1699</v>
      </c>
      <c r="J158" s="19" t="s">
        <v>1700</v>
      </c>
      <c r="K158" s="19" t="s">
        <v>1701</v>
      </c>
      <c r="L158" s="19" t="s">
        <v>1702</v>
      </c>
      <c r="M158" s="19" t="s">
        <v>35</v>
      </c>
      <c r="N158" s="19" t="s">
        <v>36</v>
      </c>
      <c r="O158" s="19" t="s">
        <v>37</v>
      </c>
      <c r="P158" s="19" t="s">
        <v>38</v>
      </c>
      <c r="Q158" s="19" t="str">
        <f t="shared" si="1"/>
        <v>HSK1-VOCAB-154</v>
      </c>
      <c r="R158" s="19" t="str">
        <f t="shared" si="2"/>
        <v>Chinese::HSK::HSK1::Vocabulary</v>
      </c>
      <c r="S158" s="20" t="s">
        <v>1355</v>
      </c>
      <c r="T158" s="4"/>
    </row>
    <row r="159" ht="30.0" customHeight="1">
      <c r="A159" s="34" t="s">
        <v>1703</v>
      </c>
      <c r="B159" s="35" t="s">
        <v>1704</v>
      </c>
      <c r="C159" s="35" t="s">
        <v>1705</v>
      </c>
      <c r="D159" s="35" t="s">
        <v>1706</v>
      </c>
      <c r="E159" s="19" t="s">
        <v>27</v>
      </c>
      <c r="F159" s="18" t="s">
        <v>1707</v>
      </c>
      <c r="G159" s="19" t="s">
        <v>1708</v>
      </c>
      <c r="H159" s="19" t="s">
        <v>1709</v>
      </c>
      <c r="I159" s="19" t="s">
        <v>1710</v>
      </c>
      <c r="J159" s="19" t="s">
        <v>1711</v>
      </c>
      <c r="K159" s="19" t="s">
        <v>1712</v>
      </c>
      <c r="L159" s="19" t="s">
        <v>1713</v>
      </c>
      <c r="M159" s="19" t="s">
        <v>35</v>
      </c>
      <c r="N159" s="19" t="s">
        <v>36</v>
      </c>
      <c r="O159" s="19" t="s">
        <v>37</v>
      </c>
      <c r="P159" s="19" t="s">
        <v>38</v>
      </c>
      <c r="Q159" s="19" t="str">
        <f t="shared" si="1"/>
        <v>HSK1-VOCAB-155</v>
      </c>
      <c r="R159" s="19" t="str">
        <f t="shared" si="2"/>
        <v>Chinese::HSK::HSK1::Vocabulary</v>
      </c>
      <c r="S159" s="20" t="s">
        <v>1355</v>
      </c>
      <c r="T159" s="4"/>
    </row>
    <row r="160" ht="30.0" customHeight="1">
      <c r="A160" s="34" t="s">
        <v>1714</v>
      </c>
      <c r="B160" s="35" t="s">
        <v>1715</v>
      </c>
      <c r="C160" s="35" t="s">
        <v>1716</v>
      </c>
      <c r="D160" s="35" t="s">
        <v>1717</v>
      </c>
      <c r="E160" s="19" t="s">
        <v>318</v>
      </c>
      <c r="F160" s="18" t="s">
        <v>1718</v>
      </c>
      <c r="G160" s="19" t="s">
        <v>1719</v>
      </c>
      <c r="H160" s="19" t="s">
        <v>1720</v>
      </c>
      <c r="I160" s="19" t="s">
        <v>1721</v>
      </c>
      <c r="J160" s="19" t="s">
        <v>1722</v>
      </c>
      <c r="K160" s="19" t="s">
        <v>1723</v>
      </c>
      <c r="L160" s="19" t="s">
        <v>1724</v>
      </c>
      <c r="M160" s="19" t="s">
        <v>35</v>
      </c>
      <c r="N160" s="19" t="s">
        <v>36</v>
      </c>
      <c r="O160" s="19" t="s">
        <v>37</v>
      </c>
      <c r="P160" s="19" t="s">
        <v>38</v>
      </c>
      <c r="Q160" s="19" t="str">
        <f t="shared" si="1"/>
        <v>HSK1-VOCAB-156</v>
      </c>
      <c r="R160" s="19" t="str">
        <f t="shared" si="2"/>
        <v>Chinese::HSK::HSK1::Vocabulary</v>
      </c>
      <c r="S160" s="20" t="s">
        <v>1355</v>
      </c>
      <c r="T160" s="4"/>
    </row>
    <row r="161" ht="30.0" customHeight="1">
      <c r="A161" s="34" t="s">
        <v>1725</v>
      </c>
      <c r="B161" s="35" t="s">
        <v>1726</v>
      </c>
      <c r="C161" s="35" t="s">
        <v>1694</v>
      </c>
      <c r="D161" s="36" t="s">
        <v>1727</v>
      </c>
      <c r="E161" s="20" t="s">
        <v>1489</v>
      </c>
      <c r="F161" s="18" t="s">
        <v>1728</v>
      </c>
      <c r="G161" s="19" t="s">
        <v>1491</v>
      </c>
      <c r="H161" s="19" t="s">
        <v>1729</v>
      </c>
      <c r="I161" s="19" t="s">
        <v>1730</v>
      </c>
      <c r="J161" s="19" t="s">
        <v>1731</v>
      </c>
      <c r="K161" s="19" t="s">
        <v>1732</v>
      </c>
      <c r="L161" s="19" t="s">
        <v>1733</v>
      </c>
      <c r="M161" s="19" t="s">
        <v>35</v>
      </c>
      <c r="N161" s="19" t="s">
        <v>36</v>
      </c>
      <c r="O161" s="19" t="s">
        <v>37</v>
      </c>
      <c r="P161" s="19" t="s">
        <v>38</v>
      </c>
      <c r="Q161" s="19" t="str">
        <f t="shared" si="1"/>
        <v>HSK1-VOCAB-157</v>
      </c>
      <c r="R161" s="19" t="str">
        <f t="shared" si="2"/>
        <v>Chinese::HSK::HSK1::Vocabulary</v>
      </c>
      <c r="S161" s="20" t="s">
        <v>1355</v>
      </c>
      <c r="T161" s="4"/>
    </row>
    <row r="162" ht="30.0" customHeight="1">
      <c r="A162" s="34" t="s">
        <v>1734</v>
      </c>
      <c r="B162" s="35" t="s">
        <v>1735</v>
      </c>
      <c r="C162" s="35" t="s">
        <v>1705</v>
      </c>
      <c r="D162" s="35" t="s">
        <v>1706</v>
      </c>
      <c r="E162" s="19" t="s">
        <v>27</v>
      </c>
      <c r="F162" s="18" t="s">
        <v>1736</v>
      </c>
      <c r="G162" s="19" t="s">
        <v>1737</v>
      </c>
      <c r="H162" s="19" t="s">
        <v>1738</v>
      </c>
      <c r="I162" s="19" t="s">
        <v>1739</v>
      </c>
      <c r="J162" s="19" t="s">
        <v>1740</v>
      </c>
      <c r="K162" s="19" t="s">
        <v>1741</v>
      </c>
      <c r="L162" s="19" t="s">
        <v>1742</v>
      </c>
      <c r="M162" s="19" t="s">
        <v>35</v>
      </c>
      <c r="N162" s="19" t="s">
        <v>36</v>
      </c>
      <c r="O162" s="19" t="s">
        <v>37</v>
      </c>
      <c r="P162" s="19" t="s">
        <v>38</v>
      </c>
      <c r="Q162" s="19" t="str">
        <f t="shared" si="1"/>
        <v>HSK1-VOCAB-158</v>
      </c>
      <c r="R162" s="19" t="str">
        <f t="shared" si="2"/>
        <v>Chinese::HSK::HSK1::Vocabulary</v>
      </c>
      <c r="S162" s="20" t="s">
        <v>1355</v>
      </c>
      <c r="T162" s="4"/>
    </row>
    <row r="163" ht="30.0" customHeight="1">
      <c r="A163" s="39" t="s">
        <v>1743</v>
      </c>
      <c r="B163" s="35" t="str">
        <f t="shared" ref="B163:B170" si="3">pinyin(A163)</f>
        <v>chāo</v>
      </c>
      <c r="C163" s="36" t="s">
        <v>1744</v>
      </c>
      <c r="D163" s="36" t="s">
        <v>1745</v>
      </c>
      <c r="E163" s="20" t="s">
        <v>318</v>
      </c>
      <c r="F163" s="31" t="s">
        <v>1746</v>
      </c>
      <c r="G163" s="20" t="s">
        <v>1747</v>
      </c>
      <c r="H163" s="20" t="s">
        <v>1748</v>
      </c>
      <c r="I163" s="20" t="s">
        <v>1749</v>
      </c>
      <c r="J163" s="20" t="s">
        <v>1750</v>
      </c>
      <c r="K163" s="20" t="s">
        <v>1751</v>
      </c>
      <c r="L163" s="20" t="s">
        <v>1752</v>
      </c>
      <c r="M163" s="19" t="s">
        <v>35</v>
      </c>
      <c r="N163" s="19" t="s">
        <v>36</v>
      </c>
      <c r="O163" s="19" t="s">
        <v>37</v>
      </c>
      <c r="P163" s="19" t="s">
        <v>38</v>
      </c>
      <c r="Q163" s="19" t="str">
        <f t="shared" si="1"/>
        <v>HSK1-VOCAB-159</v>
      </c>
      <c r="R163" s="19" t="str">
        <f t="shared" si="2"/>
        <v>Chinese::HSK::HSK1::Vocabulary</v>
      </c>
      <c r="S163" s="20" t="s">
        <v>1355</v>
      </c>
      <c r="T163" s="19"/>
    </row>
    <row r="164">
      <c r="A164" s="39" t="s">
        <v>1753</v>
      </c>
      <c r="B164" s="35" t="str">
        <f t="shared" si="3"/>
        <v>niúmǎ</v>
      </c>
      <c r="C164" s="40" t="s">
        <v>1754</v>
      </c>
      <c r="D164" s="40" t="s">
        <v>1755</v>
      </c>
      <c r="E164" s="20" t="s">
        <v>27</v>
      </c>
      <c r="F164" s="31" t="s">
        <v>1756</v>
      </c>
      <c r="G164" s="20" t="s">
        <v>1757</v>
      </c>
      <c r="H164" s="20" t="s">
        <v>1758</v>
      </c>
      <c r="I164" s="20" t="s">
        <v>1759</v>
      </c>
      <c r="J164" s="20" t="s">
        <v>1760</v>
      </c>
      <c r="K164" s="20" t="s">
        <v>1761</v>
      </c>
      <c r="L164" s="20" t="s">
        <v>125</v>
      </c>
      <c r="M164" s="19" t="s">
        <v>35</v>
      </c>
      <c r="N164" s="19" t="s">
        <v>36</v>
      </c>
      <c r="O164" s="19" t="s">
        <v>37</v>
      </c>
      <c r="P164" s="19" t="s">
        <v>38</v>
      </c>
      <c r="Q164" s="19" t="str">
        <f t="shared" si="1"/>
        <v>HSK1-VOCAB-160</v>
      </c>
      <c r="R164" s="19" t="str">
        <f t="shared" si="2"/>
        <v>Chinese::HSK::HSK1::Vocabulary</v>
      </c>
      <c r="S164" s="20" t="s">
        <v>1355</v>
      </c>
      <c r="T164" s="19"/>
    </row>
    <row r="165" ht="30.0" customHeight="1">
      <c r="A165" s="39" t="s">
        <v>1762</v>
      </c>
      <c r="B165" s="35" t="str">
        <f t="shared" si="3"/>
        <v>hàomǎ</v>
      </c>
      <c r="C165" s="35" t="str">
        <f t="shared" ref="C165:C170" si="4">en_translate(A165)</f>
        <v>Number</v>
      </c>
      <c r="D165" s="36" t="s">
        <v>1763</v>
      </c>
      <c r="E165" s="20" t="s">
        <v>27</v>
      </c>
      <c r="F165" s="31" t="s">
        <v>1764</v>
      </c>
      <c r="G165" s="20" t="s">
        <v>1765</v>
      </c>
      <c r="H165" s="20" t="s">
        <v>1766</v>
      </c>
      <c r="I165" s="20" t="s">
        <v>1767</v>
      </c>
      <c r="J165" s="20" t="s">
        <v>1768</v>
      </c>
      <c r="K165" s="20" t="s">
        <v>1769</v>
      </c>
      <c r="L165" s="20" t="s">
        <v>722</v>
      </c>
      <c r="M165" s="19" t="s">
        <v>35</v>
      </c>
      <c r="N165" s="19" t="s">
        <v>36</v>
      </c>
      <c r="O165" s="19" t="s">
        <v>37</v>
      </c>
      <c r="P165" s="19" t="s">
        <v>38</v>
      </c>
      <c r="Q165" s="19" t="str">
        <f t="shared" si="1"/>
        <v>HSK1-VOCAB-161</v>
      </c>
      <c r="R165" s="19" t="str">
        <f t="shared" si="2"/>
        <v>Chinese::HSK::HSK1::Vocabulary</v>
      </c>
      <c r="S165" s="20" t="s">
        <v>1355</v>
      </c>
      <c r="T165" s="19"/>
    </row>
    <row r="166" ht="30.0" customHeight="1">
      <c r="A166" s="39" t="s">
        <v>1770</v>
      </c>
      <c r="B166" s="35" t="str">
        <f t="shared" si="3"/>
        <v>shǒu</v>
      </c>
      <c r="C166" s="35" t="str">
        <f t="shared" si="4"/>
        <v>hand</v>
      </c>
      <c r="D166" s="35" t="str">
        <f t="shared" ref="D166:D170" si="5">vi_translate(A166)</f>
        <v>tay</v>
      </c>
      <c r="E166" s="20" t="s">
        <v>27</v>
      </c>
      <c r="F166" s="31" t="s">
        <v>1771</v>
      </c>
      <c r="G166" s="20" t="s">
        <v>1772</v>
      </c>
      <c r="H166" s="20" t="s">
        <v>1773</v>
      </c>
      <c r="I166" s="20" t="s">
        <v>1774</v>
      </c>
      <c r="J166" s="20" t="s">
        <v>1775</v>
      </c>
      <c r="K166" s="20" t="s">
        <v>1776</v>
      </c>
      <c r="L166" s="20" t="s">
        <v>1777</v>
      </c>
      <c r="M166" s="19" t="s">
        <v>35</v>
      </c>
      <c r="N166" s="19" t="s">
        <v>36</v>
      </c>
      <c r="O166" s="19" t="s">
        <v>37</v>
      </c>
      <c r="P166" s="19" t="s">
        <v>38</v>
      </c>
      <c r="Q166" s="19" t="str">
        <f t="shared" si="1"/>
        <v>HSK1-VOCAB-162</v>
      </c>
      <c r="R166" s="19" t="str">
        <f t="shared" si="2"/>
        <v>Chinese::HSK::HSK1::Vocabulary</v>
      </c>
      <c r="S166" s="20" t="s">
        <v>1355</v>
      </c>
      <c r="T166" s="19"/>
    </row>
    <row r="167" ht="30.0" customHeight="1">
      <c r="A167" s="39" t="s">
        <v>1778</v>
      </c>
      <c r="B167" s="35" t="str">
        <f t="shared" si="3"/>
        <v>tóu</v>
      </c>
      <c r="C167" s="35" t="str">
        <f t="shared" si="4"/>
        <v>head</v>
      </c>
      <c r="D167" s="35" t="str">
        <f t="shared" si="5"/>
        <v>cái đầu</v>
      </c>
      <c r="E167" s="20" t="s">
        <v>27</v>
      </c>
      <c r="F167" s="31" t="s">
        <v>1779</v>
      </c>
      <c r="G167" s="20" t="s">
        <v>1780</v>
      </c>
      <c r="H167" s="20" t="s">
        <v>1781</v>
      </c>
      <c r="I167" s="20" t="s">
        <v>1782</v>
      </c>
      <c r="J167" s="20" t="s">
        <v>1783</v>
      </c>
      <c r="K167" s="20" t="s">
        <v>1784</v>
      </c>
      <c r="L167" s="20" t="s">
        <v>1785</v>
      </c>
      <c r="M167" s="19" t="s">
        <v>35</v>
      </c>
      <c r="N167" s="19" t="s">
        <v>36</v>
      </c>
      <c r="O167" s="19" t="s">
        <v>37</v>
      </c>
      <c r="P167" s="19" t="s">
        <v>38</v>
      </c>
      <c r="Q167" s="19" t="str">
        <f t="shared" si="1"/>
        <v>HSK1-VOCAB-163</v>
      </c>
      <c r="R167" s="19" t="str">
        <f t="shared" si="2"/>
        <v>Chinese::HSK::HSK1::Vocabulary</v>
      </c>
      <c r="S167" s="20" t="s">
        <v>1355</v>
      </c>
      <c r="T167" s="19"/>
    </row>
    <row r="168" ht="30.0" customHeight="1">
      <c r="A168" s="39" t="s">
        <v>1786</v>
      </c>
      <c r="B168" s="35" t="str">
        <f t="shared" si="3"/>
        <v>nǎi</v>
      </c>
      <c r="C168" s="35" t="str">
        <f t="shared" si="4"/>
        <v>Milk</v>
      </c>
      <c r="D168" s="35" t="str">
        <f t="shared" si="5"/>
        <v>Sữa</v>
      </c>
      <c r="E168" s="20" t="s">
        <v>27</v>
      </c>
      <c r="F168" s="31" t="s">
        <v>1787</v>
      </c>
      <c r="G168" s="20" t="s">
        <v>1788</v>
      </c>
      <c r="H168" s="20" t="s">
        <v>1789</v>
      </c>
      <c r="I168" s="20" t="s">
        <v>1790</v>
      </c>
      <c r="J168" s="20" t="s">
        <v>1791</v>
      </c>
      <c r="K168" s="20" t="s">
        <v>1792</v>
      </c>
      <c r="L168" s="20" t="s">
        <v>1793</v>
      </c>
      <c r="M168" s="19" t="s">
        <v>35</v>
      </c>
      <c r="N168" s="19" t="s">
        <v>36</v>
      </c>
      <c r="O168" s="19" t="s">
        <v>37</v>
      </c>
      <c r="P168" s="19" t="s">
        <v>38</v>
      </c>
      <c r="Q168" s="19" t="str">
        <f t="shared" si="1"/>
        <v>HSK1-VOCAB-164</v>
      </c>
      <c r="R168" s="19" t="str">
        <f t="shared" si="2"/>
        <v>Chinese::HSK::HSK1::Vocabulary</v>
      </c>
      <c r="S168" s="20" t="s">
        <v>1355</v>
      </c>
      <c r="T168" s="19"/>
    </row>
    <row r="169" ht="30.0" customHeight="1">
      <c r="A169" s="39" t="s">
        <v>1794</v>
      </c>
      <c r="B169" s="35" t="str">
        <f t="shared" si="3"/>
        <v>miàntiáo</v>
      </c>
      <c r="C169" s="35" t="str">
        <f t="shared" si="4"/>
        <v>Noodle</v>
      </c>
      <c r="D169" s="35" t="str">
        <f t="shared" si="5"/>
        <v>Mì</v>
      </c>
      <c r="E169" s="20" t="s">
        <v>27</v>
      </c>
      <c r="F169" s="31" t="s">
        <v>1795</v>
      </c>
      <c r="G169" s="20" t="s">
        <v>1447</v>
      </c>
      <c r="H169" s="20" t="s">
        <v>1796</v>
      </c>
      <c r="I169" s="20" t="s">
        <v>1797</v>
      </c>
      <c r="J169" s="20" t="s">
        <v>1798</v>
      </c>
      <c r="K169" s="20" t="s">
        <v>1799</v>
      </c>
      <c r="L169" s="20" t="s">
        <v>1463</v>
      </c>
      <c r="M169" s="19" t="s">
        <v>35</v>
      </c>
      <c r="N169" s="19" t="s">
        <v>36</v>
      </c>
      <c r="O169" s="19" t="s">
        <v>37</v>
      </c>
      <c r="P169" s="19" t="s">
        <v>38</v>
      </c>
      <c r="Q169" s="19" t="str">
        <f t="shared" si="1"/>
        <v>HSK1-VOCAB-165</v>
      </c>
      <c r="R169" s="19" t="str">
        <f t="shared" si="2"/>
        <v>Chinese::HSK::HSK1::Vocabulary</v>
      </c>
      <c r="S169" s="20" t="s">
        <v>1355</v>
      </c>
      <c r="T169" s="19"/>
    </row>
    <row r="170" ht="30.0" customHeight="1">
      <c r="A170" s="39" t="s">
        <v>1800</v>
      </c>
      <c r="B170" s="35" t="str">
        <f t="shared" si="3"/>
        <v>fànguǎn</v>
      </c>
      <c r="C170" s="35" t="str">
        <f t="shared" si="4"/>
        <v>restaurant</v>
      </c>
      <c r="D170" s="35" t="str">
        <f t="shared" si="5"/>
        <v>nhà hàng</v>
      </c>
      <c r="E170" s="20" t="s">
        <v>27</v>
      </c>
      <c r="F170" s="31" t="s">
        <v>1801</v>
      </c>
      <c r="G170" s="20" t="s">
        <v>1802</v>
      </c>
      <c r="H170" s="20" t="s">
        <v>1803</v>
      </c>
      <c r="I170" s="20" t="s">
        <v>1804</v>
      </c>
      <c r="J170" s="20" t="s">
        <v>1805</v>
      </c>
      <c r="K170" s="20" t="s">
        <v>1806</v>
      </c>
      <c r="L170" s="21" t="s">
        <v>1658</v>
      </c>
      <c r="M170" s="19" t="s">
        <v>35</v>
      </c>
      <c r="N170" s="19" t="s">
        <v>36</v>
      </c>
      <c r="O170" s="19" t="s">
        <v>37</v>
      </c>
      <c r="P170" s="19" t="s">
        <v>38</v>
      </c>
      <c r="Q170" s="19" t="str">
        <f t="shared" si="1"/>
        <v>HSK1-VOCAB-166</v>
      </c>
      <c r="R170" s="19" t="str">
        <f t="shared" si="2"/>
        <v>Chinese::HSK::HSK1::Vocabulary</v>
      </c>
      <c r="S170" s="20" t="s">
        <v>1355</v>
      </c>
      <c r="T170" s="19"/>
    </row>
    <row r="171" ht="30.0" customHeight="1">
      <c r="A171" s="34" t="s">
        <v>1807</v>
      </c>
      <c r="B171" s="35" t="s">
        <v>1808</v>
      </c>
      <c r="C171" s="35" t="s">
        <v>1809</v>
      </c>
      <c r="D171" s="35" t="s">
        <v>1810</v>
      </c>
      <c r="E171" s="19" t="s">
        <v>27</v>
      </c>
      <c r="F171" s="18" t="s">
        <v>1811</v>
      </c>
      <c r="G171" s="19" t="s">
        <v>1812</v>
      </c>
      <c r="H171" s="19" t="s">
        <v>1813</v>
      </c>
      <c r="I171" s="19" t="s">
        <v>1814</v>
      </c>
      <c r="J171" s="19" t="s">
        <v>1815</v>
      </c>
      <c r="K171" s="19" t="s">
        <v>1816</v>
      </c>
      <c r="L171" s="19" t="s">
        <v>1817</v>
      </c>
      <c r="M171" s="19" t="s">
        <v>35</v>
      </c>
      <c r="N171" s="19" t="s">
        <v>36</v>
      </c>
      <c r="O171" s="19" t="s">
        <v>37</v>
      </c>
      <c r="P171" s="19" t="s">
        <v>38</v>
      </c>
      <c r="Q171" s="19" t="str">
        <f t="shared" si="1"/>
        <v>HSK1-VOCAB-167</v>
      </c>
      <c r="R171" s="19" t="str">
        <f t="shared" si="2"/>
        <v>Chinese::HSK::HSK1::Vocabulary</v>
      </c>
      <c r="S171" s="20" t="s">
        <v>1818</v>
      </c>
      <c r="T171" s="19" t="s">
        <v>40</v>
      </c>
    </row>
    <row r="172" ht="30.0" customHeight="1">
      <c r="A172" s="34" t="s">
        <v>1819</v>
      </c>
      <c r="B172" s="35" t="s">
        <v>1820</v>
      </c>
      <c r="C172" s="35" t="s">
        <v>1821</v>
      </c>
      <c r="D172" s="35" t="s">
        <v>1445</v>
      </c>
      <c r="E172" s="19" t="s">
        <v>27</v>
      </c>
      <c r="F172" s="22" t="s">
        <v>1822</v>
      </c>
      <c r="G172" s="23" t="s">
        <v>1823</v>
      </c>
      <c r="H172" s="23" t="s">
        <v>1824</v>
      </c>
      <c r="I172" s="23" t="s">
        <v>1825</v>
      </c>
      <c r="J172" s="23" t="s">
        <v>1826</v>
      </c>
      <c r="K172" s="23" t="s">
        <v>1827</v>
      </c>
      <c r="L172" s="23" t="s">
        <v>1828</v>
      </c>
      <c r="M172" s="23" t="s">
        <v>35</v>
      </c>
      <c r="N172" s="23" t="s">
        <v>36</v>
      </c>
      <c r="O172" s="23" t="s">
        <v>37</v>
      </c>
      <c r="P172" s="23" t="s">
        <v>38</v>
      </c>
      <c r="Q172" s="19" t="str">
        <f t="shared" si="1"/>
        <v>HSK1-VOCAB-168</v>
      </c>
      <c r="R172" s="19" t="str">
        <f t="shared" si="2"/>
        <v>Chinese::HSK::HSK1::Vocabulary</v>
      </c>
      <c r="S172" s="26" t="s">
        <v>1818</v>
      </c>
      <c r="T172" s="32"/>
    </row>
    <row r="173" ht="30.0" customHeight="1">
      <c r="A173" s="34" t="s">
        <v>1829</v>
      </c>
      <c r="B173" s="35" t="s">
        <v>1520</v>
      </c>
      <c r="C173" s="35" t="s">
        <v>1830</v>
      </c>
      <c r="D173" s="35" t="s">
        <v>1831</v>
      </c>
      <c r="E173" s="19" t="s">
        <v>513</v>
      </c>
      <c r="F173" s="18" t="s">
        <v>1832</v>
      </c>
      <c r="G173" s="19" t="s">
        <v>1833</v>
      </c>
      <c r="H173" s="19" t="s">
        <v>1834</v>
      </c>
      <c r="I173" s="19" t="s">
        <v>1835</v>
      </c>
      <c r="J173" s="19" t="s">
        <v>1836</v>
      </c>
      <c r="K173" s="19" t="s">
        <v>1837</v>
      </c>
      <c r="L173" s="19" t="s">
        <v>1838</v>
      </c>
      <c r="M173" s="19" t="s">
        <v>35</v>
      </c>
      <c r="N173" s="19" t="s">
        <v>36</v>
      </c>
      <c r="O173" s="19" t="s">
        <v>37</v>
      </c>
      <c r="P173" s="19" t="s">
        <v>38</v>
      </c>
      <c r="Q173" s="19" t="str">
        <f t="shared" si="1"/>
        <v>HSK1-VOCAB-169</v>
      </c>
      <c r="R173" s="19" t="str">
        <f t="shared" si="2"/>
        <v>Chinese::HSK::HSK1::Vocabulary</v>
      </c>
      <c r="S173" s="20" t="s">
        <v>1818</v>
      </c>
      <c r="T173" s="19" t="s">
        <v>40</v>
      </c>
    </row>
    <row r="174" ht="30.0" customHeight="1">
      <c r="A174" s="39" t="s">
        <v>1839</v>
      </c>
      <c r="B174" s="35" t="s">
        <v>1840</v>
      </c>
      <c r="C174" s="35" t="s">
        <v>1841</v>
      </c>
      <c r="D174" s="35" t="s">
        <v>1842</v>
      </c>
      <c r="E174" s="19" t="s">
        <v>27</v>
      </c>
      <c r="F174" s="18" t="s">
        <v>1843</v>
      </c>
      <c r="G174" s="19" t="s">
        <v>1844</v>
      </c>
      <c r="H174" s="21" t="s">
        <v>1845</v>
      </c>
      <c r="I174" s="19" t="s">
        <v>1846</v>
      </c>
      <c r="J174" s="19" t="s">
        <v>1847</v>
      </c>
      <c r="K174" s="19" t="s">
        <v>1848</v>
      </c>
      <c r="L174" s="19" t="s">
        <v>1849</v>
      </c>
      <c r="M174" s="19" t="s">
        <v>35</v>
      </c>
      <c r="N174" s="19" t="s">
        <v>36</v>
      </c>
      <c r="O174" s="19" t="s">
        <v>37</v>
      </c>
      <c r="P174" s="19" t="s">
        <v>38</v>
      </c>
      <c r="Q174" s="19" t="str">
        <f t="shared" si="1"/>
        <v>HSK1-VOCAB-170</v>
      </c>
      <c r="R174" s="19" t="str">
        <f t="shared" si="2"/>
        <v>Chinese::HSK::HSK1::Vocabulary</v>
      </c>
      <c r="S174" s="20" t="s">
        <v>1818</v>
      </c>
      <c r="T174" s="19" t="s">
        <v>40</v>
      </c>
    </row>
    <row r="175" ht="30.0" customHeight="1">
      <c r="A175" s="34" t="s">
        <v>1850</v>
      </c>
      <c r="B175" s="35" t="s">
        <v>1851</v>
      </c>
      <c r="C175" s="35" t="s">
        <v>1852</v>
      </c>
      <c r="D175" s="35" t="s">
        <v>1853</v>
      </c>
      <c r="E175" s="19" t="s">
        <v>240</v>
      </c>
      <c r="F175" s="18" t="s">
        <v>1854</v>
      </c>
      <c r="G175" s="19" t="s">
        <v>1855</v>
      </c>
      <c r="H175" s="19" t="s">
        <v>1856</v>
      </c>
      <c r="I175" s="19" t="s">
        <v>1857</v>
      </c>
      <c r="J175" s="19" t="s">
        <v>1858</v>
      </c>
      <c r="K175" s="19" t="s">
        <v>1859</v>
      </c>
      <c r="L175" s="19" t="s">
        <v>830</v>
      </c>
      <c r="M175" s="19" t="s">
        <v>35</v>
      </c>
      <c r="N175" s="19" t="s">
        <v>36</v>
      </c>
      <c r="O175" s="19" t="s">
        <v>37</v>
      </c>
      <c r="P175" s="19" t="s">
        <v>38</v>
      </c>
      <c r="Q175" s="19" t="str">
        <f t="shared" si="1"/>
        <v>HSK1-VOCAB-171</v>
      </c>
      <c r="R175" s="19" t="str">
        <f t="shared" si="2"/>
        <v>Chinese::HSK::HSK1::Vocabulary</v>
      </c>
      <c r="S175" s="20" t="s">
        <v>1818</v>
      </c>
      <c r="T175" s="19" t="s">
        <v>40</v>
      </c>
    </row>
    <row r="176" ht="30.0" customHeight="1">
      <c r="A176" s="34" t="s">
        <v>1860</v>
      </c>
      <c r="B176" s="35" t="s">
        <v>1861</v>
      </c>
      <c r="C176" s="35" t="s">
        <v>1862</v>
      </c>
      <c r="D176" s="35" t="s">
        <v>1863</v>
      </c>
      <c r="E176" s="19" t="s">
        <v>27</v>
      </c>
      <c r="F176" s="22" t="s">
        <v>1864</v>
      </c>
      <c r="G176" s="23" t="s">
        <v>1865</v>
      </c>
      <c r="H176" s="23" t="s">
        <v>1866</v>
      </c>
      <c r="I176" s="23" t="s">
        <v>1867</v>
      </c>
      <c r="J176" s="23" t="s">
        <v>1868</v>
      </c>
      <c r="K176" s="23" t="s">
        <v>1869</v>
      </c>
      <c r="L176" s="23" t="s">
        <v>1870</v>
      </c>
      <c r="M176" s="23" t="s">
        <v>35</v>
      </c>
      <c r="N176" s="23" t="s">
        <v>36</v>
      </c>
      <c r="O176" s="23" t="s">
        <v>37</v>
      </c>
      <c r="P176" s="23" t="s">
        <v>38</v>
      </c>
      <c r="Q176" s="19" t="str">
        <f t="shared" si="1"/>
        <v>HSK1-VOCAB-172</v>
      </c>
      <c r="R176" s="19" t="str">
        <f t="shared" si="2"/>
        <v>Chinese::HSK::HSK1::Vocabulary</v>
      </c>
      <c r="S176" s="26" t="s">
        <v>1818</v>
      </c>
      <c r="T176" s="23" t="s">
        <v>40</v>
      </c>
    </row>
    <row r="177" ht="30.0" customHeight="1">
      <c r="A177" s="34" t="s">
        <v>1871</v>
      </c>
      <c r="B177" s="35" t="s">
        <v>1872</v>
      </c>
      <c r="C177" s="35" t="s">
        <v>1873</v>
      </c>
      <c r="D177" s="35" t="s">
        <v>1874</v>
      </c>
      <c r="E177" s="19" t="s">
        <v>27</v>
      </c>
      <c r="F177" s="18" t="s">
        <v>1875</v>
      </c>
      <c r="G177" s="19" t="s">
        <v>1876</v>
      </c>
      <c r="H177" s="19" t="s">
        <v>1877</v>
      </c>
      <c r="I177" s="19" t="s">
        <v>1878</v>
      </c>
      <c r="J177" s="19" t="s">
        <v>1879</v>
      </c>
      <c r="K177" s="19" t="s">
        <v>1880</v>
      </c>
      <c r="L177" s="19" t="s">
        <v>1881</v>
      </c>
      <c r="M177" s="19" t="s">
        <v>35</v>
      </c>
      <c r="N177" s="19" t="s">
        <v>36</v>
      </c>
      <c r="O177" s="19" t="s">
        <v>37</v>
      </c>
      <c r="P177" s="19" t="s">
        <v>38</v>
      </c>
      <c r="Q177" s="19" t="str">
        <f t="shared" si="1"/>
        <v>HSK1-VOCAB-173</v>
      </c>
      <c r="R177" s="19" t="str">
        <f t="shared" si="2"/>
        <v>Chinese::HSK::HSK1::Vocabulary</v>
      </c>
      <c r="S177" s="20" t="s">
        <v>1818</v>
      </c>
      <c r="T177" s="19" t="s">
        <v>40</v>
      </c>
    </row>
    <row r="178" ht="30.0" customHeight="1">
      <c r="A178" s="34" t="s">
        <v>1882</v>
      </c>
      <c r="B178" s="35" t="s">
        <v>1883</v>
      </c>
      <c r="C178" s="35" t="s">
        <v>1884</v>
      </c>
      <c r="D178" s="35" t="s">
        <v>1885</v>
      </c>
      <c r="E178" s="19" t="s">
        <v>240</v>
      </c>
      <c r="F178" s="18" t="s">
        <v>1886</v>
      </c>
      <c r="G178" s="19" t="s">
        <v>1887</v>
      </c>
      <c r="H178" s="19" t="s">
        <v>1888</v>
      </c>
      <c r="I178" s="19" t="s">
        <v>1168</v>
      </c>
      <c r="J178" s="19" t="s">
        <v>1889</v>
      </c>
      <c r="K178" s="19" t="s">
        <v>1890</v>
      </c>
      <c r="L178" s="19" t="s">
        <v>1891</v>
      </c>
      <c r="M178" s="19" t="s">
        <v>35</v>
      </c>
      <c r="N178" s="19" t="s">
        <v>36</v>
      </c>
      <c r="O178" s="19" t="s">
        <v>37</v>
      </c>
      <c r="P178" s="19" t="s">
        <v>38</v>
      </c>
      <c r="Q178" s="19" t="str">
        <f t="shared" si="1"/>
        <v>HSK1-VOCAB-174</v>
      </c>
      <c r="R178" s="19" t="str">
        <f t="shared" si="2"/>
        <v>Chinese::HSK::HSK1::Vocabulary</v>
      </c>
      <c r="S178" s="20" t="s">
        <v>1818</v>
      </c>
      <c r="T178" s="19" t="s">
        <v>40</v>
      </c>
    </row>
    <row r="179" ht="30.0" customHeight="1">
      <c r="A179" s="34" t="s">
        <v>1892</v>
      </c>
      <c r="B179" s="35" t="s">
        <v>1893</v>
      </c>
      <c r="C179" s="35" t="s">
        <v>1894</v>
      </c>
      <c r="D179" s="35" t="s">
        <v>1895</v>
      </c>
      <c r="E179" s="19" t="s">
        <v>318</v>
      </c>
      <c r="F179" s="18" t="s">
        <v>1896</v>
      </c>
      <c r="G179" s="19" t="s">
        <v>1897</v>
      </c>
      <c r="H179" s="19" t="s">
        <v>1898</v>
      </c>
      <c r="I179" s="19" t="s">
        <v>1899</v>
      </c>
      <c r="J179" s="19" t="s">
        <v>1900</v>
      </c>
      <c r="K179" s="19" t="s">
        <v>1901</v>
      </c>
      <c r="L179" s="19" t="s">
        <v>1902</v>
      </c>
      <c r="M179" s="19" t="s">
        <v>35</v>
      </c>
      <c r="N179" s="19" t="s">
        <v>36</v>
      </c>
      <c r="O179" s="19" t="s">
        <v>37</v>
      </c>
      <c r="P179" s="19" t="s">
        <v>38</v>
      </c>
      <c r="Q179" s="19" t="str">
        <f t="shared" si="1"/>
        <v>HSK1-VOCAB-175</v>
      </c>
      <c r="R179" s="19" t="str">
        <f t="shared" si="2"/>
        <v>Chinese::HSK::HSK1::Vocabulary</v>
      </c>
      <c r="S179" s="20" t="s">
        <v>1818</v>
      </c>
      <c r="T179" s="19" t="s">
        <v>40</v>
      </c>
    </row>
    <row r="180" ht="30.0" customHeight="1">
      <c r="A180" s="34" t="s">
        <v>1903</v>
      </c>
      <c r="B180" s="35" t="s">
        <v>1904</v>
      </c>
      <c r="C180" s="35" t="s">
        <v>1905</v>
      </c>
      <c r="D180" s="35" t="s">
        <v>1906</v>
      </c>
      <c r="E180" s="19" t="s">
        <v>513</v>
      </c>
      <c r="F180" s="18" t="s">
        <v>1907</v>
      </c>
      <c r="G180" s="19" t="s">
        <v>1908</v>
      </c>
      <c r="H180" s="19" t="s">
        <v>1909</v>
      </c>
      <c r="I180" s="19" t="s">
        <v>1910</v>
      </c>
      <c r="J180" s="19" t="s">
        <v>1911</v>
      </c>
      <c r="K180" s="19" t="s">
        <v>1912</v>
      </c>
      <c r="L180" s="19" t="s">
        <v>520</v>
      </c>
      <c r="M180" s="19" t="s">
        <v>35</v>
      </c>
      <c r="N180" s="19" t="s">
        <v>36</v>
      </c>
      <c r="O180" s="19" t="s">
        <v>37</v>
      </c>
      <c r="P180" s="19" t="s">
        <v>38</v>
      </c>
      <c r="Q180" s="19" t="str">
        <f t="shared" si="1"/>
        <v>HSK1-VOCAB-176</v>
      </c>
      <c r="R180" s="19" t="str">
        <f t="shared" si="2"/>
        <v>Chinese::HSK::HSK1::Vocabulary</v>
      </c>
      <c r="S180" s="20" t="s">
        <v>1818</v>
      </c>
      <c r="T180" s="19" t="s">
        <v>40</v>
      </c>
    </row>
    <row r="181" ht="30.0" customHeight="1">
      <c r="A181" s="34" t="s">
        <v>1913</v>
      </c>
      <c r="B181" s="35" t="s">
        <v>1914</v>
      </c>
      <c r="C181" s="35" t="s">
        <v>1915</v>
      </c>
      <c r="D181" s="35" t="s">
        <v>1916</v>
      </c>
      <c r="E181" s="19" t="s">
        <v>27</v>
      </c>
      <c r="F181" s="18" t="s">
        <v>1917</v>
      </c>
      <c r="G181" s="19" t="s">
        <v>1918</v>
      </c>
      <c r="H181" s="19" t="s">
        <v>1919</v>
      </c>
      <c r="I181" s="19" t="s">
        <v>1920</v>
      </c>
      <c r="J181" s="19" t="s">
        <v>1921</v>
      </c>
      <c r="K181" s="19" t="s">
        <v>1922</v>
      </c>
      <c r="L181" s="19" t="s">
        <v>1923</v>
      </c>
      <c r="M181" s="19" t="s">
        <v>35</v>
      </c>
      <c r="N181" s="19" t="s">
        <v>36</v>
      </c>
      <c r="O181" s="19" t="s">
        <v>37</v>
      </c>
      <c r="P181" s="19" t="s">
        <v>38</v>
      </c>
      <c r="Q181" s="19" t="str">
        <f t="shared" si="1"/>
        <v>HSK1-VOCAB-177</v>
      </c>
      <c r="R181" s="19" t="str">
        <f t="shared" si="2"/>
        <v>Chinese::HSK::HSK1::Vocabulary</v>
      </c>
      <c r="S181" s="20" t="s">
        <v>1818</v>
      </c>
      <c r="T181" s="19" t="s">
        <v>40</v>
      </c>
    </row>
    <row r="182" ht="30.0" customHeight="1">
      <c r="A182" s="34" t="s">
        <v>1924</v>
      </c>
      <c r="B182" s="35" t="s">
        <v>1925</v>
      </c>
      <c r="C182" s="35" t="s">
        <v>1926</v>
      </c>
      <c r="D182" s="35" t="s">
        <v>1927</v>
      </c>
      <c r="E182" s="19" t="s">
        <v>727</v>
      </c>
      <c r="F182" s="18" t="s">
        <v>1928</v>
      </c>
      <c r="G182" s="19" t="s">
        <v>1929</v>
      </c>
      <c r="H182" s="19" t="s">
        <v>1930</v>
      </c>
      <c r="I182" s="19" t="s">
        <v>1931</v>
      </c>
      <c r="J182" s="19" t="s">
        <v>1932</v>
      </c>
      <c r="K182" s="19" t="s">
        <v>1933</v>
      </c>
      <c r="L182" s="19" t="s">
        <v>1934</v>
      </c>
      <c r="M182" s="19" t="s">
        <v>35</v>
      </c>
      <c r="N182" s="19" t="s">
        <v>36</v>
      </c>
      <c r="O182" s="19" t="s">
        <v>37</v>
      </c>
      <c r="P182" s="19" t="s">
        <v>38</v>
      </c>
      <c r="Q182" s="19" t="str">
        <f t="shared" si="1"/>
        <v>HSK1-VOCAB-178</v>
      </c>
      <c r="R182" s="19" t="str">
        <f t="shared" si="2"/>
        <v>Chinese::HSK::HSK1::Vocabulary</v>
      </c>
      <c r="S182" s="20" t="s">
        <v>1818</v>
      </c>
      <c r="T182" s="19" t="s">
        <v>40</v>
      </c>
    </row>
    <row r="183" ht="30.0" customHeight="1">
      <c r="A183" s="34" t="s">
        <v>1935</v>
      </c>
      <c r="B183" s="35" t="s">
        <v>1936</v>
      </c>
      <c r="C183" s="35" t="s">
        <v>1937</v>
      </c>
      <c r="D183" s="35" t="s">
        <v>1938</v>
      </c>
      <c r="E183" s="19" t="s">
        <v>727</v>
      </c>
      <c r="F183" s="18" t="s">
        <v>1939</v>
      </c>
      <c r="G183" s="19" t="s">
        <v>1940</v>
      </c>
      <c r="H183" s="19" t="s">
        <v>1941</v>
      </c>
      <c r="I183" s="19" t="s">
        <v>1942</v>
      </c>
      <c r="J183" s="19" t="s">
        <v>1943</v>
      </c>
      <c r="K183" s="19" t="s">
        <v>1944</v>
      </c>
      <c r="L183" s="19" t="s">
        <v>1945</v>
      </c>
      <c r="M183" s="19" t="s">
        <v>35</v>
      </c>
      <c r="N183" s="19" t="s">
        <v>36</v>
      </c>
      <c r="O183" s="19" t="s">
        <v>37</v>
      </c>
      <c r="P183" s="19" t="s">
        <v>38</v>
      </c>
      <c r="Q183" s="19" t="str">
        <f t="shared" si="1"/>
        <v>HSK1-VOCAB-179</v>
      </c>
      <c r="R183" s="19" t="str">
        <f t="shared" si="2"/>
        <v>Chinese::HSK::HSK1::Vocabulary</v>
      </c>
      <c r="S183" s="20" t="s">
        <v>1818</v>
      </c>
      <c r="T183" s="19" t="s">
        <v>40</v>
      </c>
    </row>
    <row r="184" ht="30.0" customHeight="1">
      <c r="A184" s="34" t="s">
        <v>1946</v>
      </c>
      <c r="B184" s="35" t="s">
        <v>1947</v>
      </c>
      <c r="C184" s="35" t="s">
        <v>1948</v>
      </c>
      <c r="D184" s="35" t="s">
        <v>1949</v>
      </c>
      <c r="E184" s="19" t="s">
        <v>513</v>
      </c>
      <c r="F184" s="18" t="s">
        <v>1950</v>
      </c>
      <c r="G184" s="19" t="s">
        <v>1951</v>
      </c>
      <c r="H184" s="19" t="s">
        <v>1952</v>
      </c>
      <c r="I184" s="19" t="s">
        <v>1953</v>
      </c>
      <c r="J184" s="19" t="s">
        <v>1954</v>
      </c>
      <c r="K184" s="19" t="s">
        <v>1955</v>
      </c>
      <c r="L184" s="19" t="s">
        <v>1956</v>
      </c>
      <c r="M184" s="19" t="s">
        <v>35</v>
      </c>
      <c r="N184" s="19" t="s">
        <v>36</v>
      </c>
      <c r="O184" s="19" t="s">
        <v>37</v>
      </c>
      <c r="P184" s="19" t="s">
        <v>38</v>
      </c>
      <c r="Q184" s="19" t="str">
        <f t="shared" si="1"/>
        <v>HSK1-VOCAB-180</v>
      </c>
      <c r="R184" s="19" t="str">
        <f t="shared" si="2"/>
        <v>Chinese::HSK::HSK1::Vocabulary</v>
      </c>
      <c r="S184" s="20" t="s">
        <v>1818</v>
      </c>
      <c r="T184" s="19" t="s">
        <v>40</v>
      </c>
    </row>
    <row r="185" ht="30.0" customHeight="1">
      <c r="A185" s="34" t="s">
        <v>1957</v>
      </c>
      <c r="B185" s="35" t="s">
        <v>1958</v>
      </c>
      <c r="C185" s="35" t="s">
        <v>1959</v>
      </c>
      <c r="D185" s="35" t="s">
        <v>1960</v>
      </c>
      <c r="E185" s="19" t="s">
        <v>27</v>
      </c>
      <c r="F185" s="18" t="s">
        <v>1961</v>
      </c>
      <c r="G185" s="19" t="s">
        <v>1918</v>
      </c>
      <c r="H185" s="19" t="s">
        <v>1962</v>
      </c>
      <c r="I185" s="19" t="s">
        <v>1963</v>
      </c>
      <c r="J185" s="19" t="s">
        <v>1964</v>
      </c>
      <c r="K185" s="19" t="s">
        <v>1965</v>
      </c>
      <c r="L185" s="19" t="s">
        <v>1966</v>
      </c>
      <c r="M185" s="19" t="s">
        <v>35</v>
      </c>
      <c r="N185" s="19" t="s">
        <v>36</v>
      </c>
      <c r="O185" s="19" t="s">
        <v>37</v>
      </c>
      <c r="P185" s="19" t="s">
        <v>38</v>
      </c>
      <c r="Q185" s="19" t="str">
        <f t="shared" si="1"/>
        <v>HSK1-VOCAB-181</v>
      </c>
      <c r="R185" s="19" t="str">
        <f t="shared" si="2"/>
        <v>Chinese::HSK::HSK1::Vocabulary</v>
      </c>
      <c r="S185" s="20" t="s">
        <v>1818</v>
      </c>
      <c r="T185" s="19" t="s">
        <v>40</v>
      </c>
    </row>
    <row r="186" ht="30.0" customHeight="1">
      <c r="A186" s="34" t="s">
        <v>1967</v>
      </c>
      <c r="B186" s="35" t="s">
        <v>1968</v>
      </c>
      <c r="C186" s="35" t="s">
        <v>1969</v>
      </c>
      <c r="D186" s="35" t="s">
        <v>1970</v>
      </c>
      <c r="E186" s="19" t="s">
        <v>727</v>
      </c>
      <c r="F186" s="18" t="s">
        <v>1971</v>
      </c>
      <c r="G186" s="19" t="s">
        <v>1972</v>
      </c>
      <c r="H186" s="19" t="s">
        <v>1973</v>
      </c>
      <c r="I186" s="19" t="s">
        <v>1974</v>
      </c>
      <c r="J186" s="19" t="s">
        <v>1975</v>
      </c>
      <c r="K186" s="19" t="s">
        <v>1976</v>
      </c>
      <c r="L186" s="19" t="s">
        <v>1977</v>
      </c>
      <c r="M186" s="19" t="s">
        <v>35</v>
      </c>
      <c r="N186" s="19" t="s">
        <v>36</v>
      </c>
      <c r="O186" s="19" t="s">
        <v>37</v>
      </c>
      <c r="P186" s="19" t="s">
        <v>38</v>
      </c>
      <c r="Q186" s="19" t="str">
        <f t="shared" si="1"/>
        <v>HSK1-VOCAB-182</v>
      </c>
      <c r="R186" s="19" t="str">
        <f t="shared" si="2"/>
        <v>Chinese::HSK::HSK1::Vocabulary</v>
      </c>
      <c r="S186" s="20" t="s">
        <v>1818</v>
      </c>
      <c r="T186" s="19" t="s">
        <v>40</v>
      </c>
    </row>
    <row r="187" ht="30.0" customHeight="1">
      <c r="A187" s="34" t="s">
        <v>1978</v>
      </c>
      <c r="B187" s="35" t="s">
        <v>1979</v>
      </c>
      <c r="C187" s="35" t="s">
        <v>1980</v>
      </c>
      <c r="D187" s="35" t="s">
        <v>1981</v>
      </c>
      <c r="E187" s="19" t="s">
        <v>513</v>
      </c>
      <c r="F187" s="18" t="s">
        <v>1982</v>
      </c>
      <c r="G187" s="19" t="s">
        <v>1983</v>
      </c>
      <c r="H187" s="19" t="s">
        <v>1984</v>
      </c>
      <c r="I187" s="19" t="s">
        <v>1985</v>
      </c>
      <c r="J187" s="19" t="s">
        <v>1986</v>
      </c>
      <c r="K187" s="19" t="s">
        <v>1987</v>
      </c>
      <c r="L187" s="19" t="s">
        <v>1988</v>
      </c>
      <c r="M187" s="19" t="s">
        <v>35</v>
      </c>
      <c r="N187" s="19" t="s">
        <v>36</v>
      </c>
      <c r="O187" s="19" t="s">
        <v>37</v>
      </c>
      <c r="P187" s="19" t="s">
        <v>38</v>
      </c>
      <c r="Q187" s="19" t="str">
        <f t="shared" si="1"/>
        <v>HSK1-VOCAB-183</v>
      </c>
      <c r="R187" s="19" t="str">
        <f t="shared" si="2"/>
        <v>Chinese::HSK::HSK1::Vocabulary</v>
      </c>
      <c r="S187" s="20" t="s">
        <v>1818</v>
      </c>
      <c r="T187" s="19" t="s">
        <v>40</v>
      </c>
    </row>
    <row r="188" ht="30.0" customHeight="1">
      <c r="A188" s="34" t="s">
        <v>1989</v>
      </c>
      <c r="B188" s="35" t="s">
        <v>1990</v>
      </c>
      <c r="C188" s="35" t="s">
        <v>1991</v>
      </c>
      <c r="D188" s="35" t="s">
        <v>1992</v>
      </c>
      <c r="E188" s="19" t="s">
        <v>513</v>
      </c>
      <c r="F188" s="18" t="s">
        <v>1993</v>
      </c>
      <c r="G188" s="19" t="s">
        <v>1994</v>
      </c>
      <c r="H188" s="19" t="s">
        <v>1995</v>
      </c>
      <c r="I188" s="19" t="s">
        <v>1996</v>
      </c>
      <c r="J188" s="19" t="s">
        <v>1997</v>
      </c>
      <c r="K188" s="19" t="s">
        <v>1998</v>
      </c>
      <c r="L188" s="19" t="s">
        <v>1999</v>
      </c>
      <c r="M188" s="19" t="s">
        <v>35</v>
      </c>
      <c r="N188" s="19" t="s">
        <v>36</v>
      </c>
      <c r="O188" s="19" t="s">
        <v>37</v>
      </c>
      <c r="P188" s="19" t="s">
        <v>38</v>
      </c>
      <c r="Q188" s="19" t="str">
        <f t="shared" si="1"/>
        <v>HSK1-VOCAB-184</v>
      </c>
      <c r="R188" s="19" t="str">
        <f t="shared" si="2"/>
        <v>Chinese::HSK::HSK1::Vocabulary</v>
      </c>
      <c r="S188" s="20" t="s">
        <v>1818</v>
      </c>
      <c r="T188" s="19" t="s">
        <v>40</v>
      </c>
    </row>
    <row r="189" ht="30.0" customHeight="1">
      <c r="A189" s="34" t="s">
        <v>2000</v>
      </c>
      <c r="B189" s="35" t="s">
        <v>2001</v>
      </c>
      <c r="C189" s="35" t="s">
        <v>2002</v>
      </c>
      <c r="D189" s="35" t="s">
        <v>2003</v>
      </c>
      <c r="E189" s="19" t="s">
        <v>27</v>
      </c>
      <c r="F189" s="18" t="s">
        <v>2004</v>
      </c>
      <c r="G189" s="19" t="s">
        <v>2005</v>
      </c>
      <c r="H189" s="19" t="s">
        <v>2006</v>
      </c>
      <c r="I189" s="19" t="s">
        <v>2007</v>
      </c>
      <c r="J189" s="19" t="s">
        <v>2008</v>
      </c>
      <c r="K189" s="19" t="s">
        <v>2009</v>
      </c>
      <c r="L189" s="19" t="s">
        <v>2010</v>
      </c>
      <c r="M189" s="19" t="s">
        <v>35</v>
      </c>
      <c r="N189" s="19" t="s">
        <v>36</v>
      </c>
      <c r="O189" s="19" t="s">
        <v>37</v>
      </c>
      <c r="P189" s="19" t="s">
        <v>38</v>
      </c>
      <c r="Q189" s="19" t="str">
        <f t="shared" si="1"/>
        <v>HSK1-VOCAB-185</v>
      </c>
      <c r="R189" s="19" t="str">
        <f t="shared" si="2"/>
        <v>Chinese::HSK::HSK1::Vocabulary</v>
      </c>
      <c r="S189" s="20" t="s">
        <v>1818</v>
      </c>
      <c r="T189" s="19" t="s">
        <v>40</v>
      </c>
    </row>
    <row r="190" ht="30.0" customHeight="1">
      <c r="A190" s="39" t="s">
        <v>2011</v>
      </c>
      <c r="B190" s="35" t="str">
        <f t="shared" ref="B190:B197" si="6">pinyin(A190)</f>
        <v>liǎnggè yuè</v>
      </c>
      <c r="C190" s="35" t="str">
        <f t="shared" ref="C190:C197" si="7">en_translate(A190)</f>
        <v>Two months</v>
      </c>
      <c r="D190" s="35" t="str">
        <f t="shared" ref="D190:D192" si="8">vi_translate(A190)</f>
        <v>Hai tháng</v>
      </c>
      <c r="E190" s="20" t="s">
        <v>727</v>
      </c>
      <c r="F190" s="31" t="s">
        <v>2012</v>
      </c>
      <c r="G190" s="20" t="s">
        <v>2013</v>
      </c>
      <c r="H190" s="20" t="s">
        <v>2014</v>
      </c>
      <c r="I190" s="20" t="s">
        <v>2015</v>
      </c>
      <c r="J190" s="20" t="s">
        <v>2016</v>
      </c>
      <c r="K190" s="20" t="s">
        <v>2017</v>
      </c>
      <c r="L190" s="20" t="s">
        <v>2018</v>
      </c>
      <c r="M190" s="19" t="s">
        <v>35</v>
      </c>
      <c r="N190" s="19" t="s">
        <v>36</v>
      </c>
      <c r="O190" s="19" t="s">
        <v>37</v>
      </c>
      <c r="P190" s="19" t="s">
        <v>38</v>
      </c>
      <c r="Q190" s="19" t="str">
        <f t="shared" si="1"/>
        <v>HSK1-VOCAB-186</v>
      </c>
      <c r="R190" s="19" t="str">
        <f t="shared" si="2"/>
        <v>Chinese::HSK::HSK1::Vocabulary</v>
      </c>
      <c r="S190" s="20" t="s">
        <v>1818</v>
      </c>
      <c r="T190" s="19"/>
    </row>
    <row r="191" ht="30.0" customHeight="1">
      <c r="A191" s="39" t="s">
        <v>2019</v>
      </c>
      <c r="B191" s="35" t="str">
        <f t="shared" si="6"/>
        <v>èryuè</v>
      </c>
      <c r="C191" s="35" t="str">
        <f t="shared" si="7"/>
        <v>February</v>
      </c>
      <c r="D191" s="35" t="str">
        <f t="shared" si="8"/>
        <v>Tháng hai</v>
      </c>
      <c r="E191" s="20" t="s">
        <v>27</v>
      </c>
      <c r="F191" s="31" t="s">
        <v>2020</v>
      </c>
      <c r="G191" s="20" t="s">
        <v>2021</v>
      </c>
      <c r="H191" s="20" t="s">
        <v>2022</v>
      </c>
      <c r="I191" s="20" t="s">
        <v>2023</v>
      </c>
      <c r="J191" s="20" t="s">
        <v>2024</v>
      </c>
      <c r="K191" s="20" t="s">
        <v>2025</v>
      </c>
      <c r="L191" s="20" t="s">
        <v>2026</v>
      </c>
      <c r="M191" s="19" t="s">
        <v>35</v>
      </c>
      <c r="N191" s="19" t="s">
        <v>36</v>
      </c>
      <c r="O191" s="19" t="s">
        <v>37</v>
      </c>
      <c r="P191" s="19" t="s">
        <v>38</v>
      </c>
      <c r="Q191" s="19" t="str">
        <f t="shared" si="1"/>
        <v>HSK1-VOCAB-187</v>
      </c>
      <c r="R191" s="19" t="str">
        <f t="shared" si="2"/>
        <v>Chinese::HSK::HSK1::Vocabulary</v>
      </c>
      <c r="S191" s="20" t="s">
        <v>1818</v>
      </c>
      <c r="T191" s="19"/>
    </row>
    <row r="192" ht="30.0" customHeight="1">
      <c r="A192" s="39" t="s">
        <v>2027</v>
      </c>
      <c r="B192" s="35" t="str">
        <f t="shared" si="6"/>
        <v>yīyuè</v>
      </c>
      <c r="C192" s="35" t="str">
        <f t="shared" si="7"/>
        <v>January</v>
      </c>
      <c r="D192" s="35" t="str">
        <f t="shared" si="8"/>
        <v>Tháng Một</v>
      </c>
      <c r="E192" s="20" t="s">
        <v>27</v>
      </c>
      <c r="F192" s="31" t="s">
        <v>2028</v>
      </c>
      <c r="G192" s="20" t="s">
        <v>2029</v>
      </c>
      <c r="H192" s="20" t="s">
        <v>2030</v>
      </c>
      <c r="I192" s="20" t="s">
        <v>2031</v>
      </c>
      <c r="J192" s="20" t="s">
        <v>2032</v>
      </c>
      <c r="K192" s="20" t="s">
        <v>2033</v>
      </c>
      <c r="L192" s="20" t="s">
        <v>2034</v>
      </c>
      <c r="M192" s="19" t="s">
        <v>35</v>
      </c>
      <c r="N192" s="19" t="s">
        <v>36</v>
      </c>
      <c r="O192" s="19" t="s">
        <v>37</v>
      </c>
      <c r="P192" s="19" t="s">
        <v>38</v>
      </c>
      <c r="Q192" s="19" t="str">
        <f t="shared" si="1"/>
        <v>HSK1-VOCAB-188</v>
      </c>
      <c r="R192" s="19" t="str">
        <f t="shared" si="2"/>
        <v>Chinese::HSK::HSK1::Vocabulary</v>
      </c>
      <c r="S192" s="20" t="s">
        <v>1818</v>
      </c>
      <c r="T192" s="19"/>
    </row>
    <row r="193" ht="30.0" customHeight="1">
      <c r="A193" s="39" t="s">
        <v>2035</v>
      </c>
      <c r="B193" s="35" t="str">
        <f t="shared" si="6"/>
        <v>jiāyóu</v>
      </c>
      <c r="C193" s="35" t="str">
        <f t="shared" si="7"/>
        <v>come on</v>
      </c>
      <c r="D193" s="36" t="s">
        <v>2036</v>
      </c>
      <c r="E193" s="20" t="s">
        <v>513</v>
      </c>
      <c r="F193" s="31" t="s">
        <v>2037</v>
      </c>
      <c r="G193" s="20" t="s">
        <v>2038</v>
      </c>
      <c r="H193" s="20" t="s">
        <v>2039</v>
      </c>
      <c r="I193" s="20" t="s">
        <v>2040</v>
      </c>
      <c r="J193" s="20" t="s">
        <v>2041</v>
      </c>
      <c r="K193" s="20" t="s">
        <v>2042</v>
      </c>
      <c r="L193" s="20" t="s">
        <v>2043</v>
      </c>
      <c r="M193" s="19" t="s">
        <v>35</v>
      </c>
      <c r="N193" s="19" t="s">
        <v>36</v>
      </c>
      <c r="O193" s="19" t="s">
        <v>37</v>
      </c>
      <c r="P193" s="19" t="s">
        <v>38</v>
      </c>
      <c r="Q193" s="19" t="str">
        <f t="shared" si="1"/>
        <v>HSK1-VOCAB-189</v>
      </c>
      <c r="R193" s="19" t="str">
        <f t="shared" si="2"/>
        <v>Chinese::HSK::HSK1::Vocabulary</v>
      </c>
      <c r="S193" s="20" t="s">
        <v>1818</v>
      </c>
      <c r="T193" s="19"/>
    </row>
    <row r="194" ht="30.0" customHeight="1">
      <c r="A194" s="39" t="s">
        <v>2044</v>
      </c>
      <c r="B194" s="35" t="str">
        <f t="shared" si="6"/>
        <v>jiābān</v>
      </c>
      <c r="C194" s="35" t="str">
        <f t="shared" si="7"/>
        <v>work overtime</v>
      </c>
      <c r="D194" s="35" t="str">
        <f t="shared" ref="D194:D195" si="9">vi_translate(A194)</f>
        <v>làm thêm giờ</v>
      </c>
      <c r="E194" s="20" t="s">
        <v>513</v>
      </c>
      <c r="F194" s="31" t="s">
        <v>2045</v>
      </c>
      <c r="G194" s="20" t="s">
        <v>2046</v>
      </c>
      <c r="H194" s="20" t="s">
        <v>2047</v>
      </c>
      <c r="I194" s="20" t="s">
        <v>2048</v>
      </c>
      <c r="J194" s="20" t="s">
        <v>2049</v>
      </c>
      <c r="K194" s="20" t="s">
        <v>2050</v>
      </c>
      <c r="L194" s="20" t="s">
        <v>2043</v>
      </c>
      <c r="M194" s="19" t="s">
        <v>35</v>
      </c>
      <c r="N194" s="19" t="s">
        <v>36</v>
      </c>
      <c r="O194" s="19" t="s">
        <v>37</v>
      </c>
      <c r="P194" s="19" t="s">
        <v>38</v>
      </c>
      <c r="Q194" s="19" t="str">
        <f t="shared" si="1"/>
        <v>HSK1-VOCAB-190</v>
      </c>
      <c r="R194" s="19" t="str">
        <f t="shared" si="2"/>
        <v>Chinese::HSK::HSK1::Vocabulary</v>
      </c>
      <c r="S194" s="20" t="s">
        <v>1818</v>
      </c>
      <c r="T194" s="19"/>
    </row>
    <row r="195" ht="30.0" customHeight="1">
      <c r="A195" s="39" t="s">
        <v>2051</v>
      </c>
      <c r="B195" s="35" t="str">
        <f t="shared" si="6"/>
        <v>shíèryuè</v>
      </c>
      <c r="C195" s="35" t="str">
        <f t="shared" si="7"/>
        <v>December</v>
      </c>
      <c r="D195" s="35" t="str">
        <f t="shared" si="9"/>
        <v>Tháng 12</v>
      </c>
      <c r="E195" s="20" t="s">
        <v>27</v>
      </c>
      <c r="F195" s="31" t="s">
        <v>2052</v>
      </c>
      <c r="G195" s="20" t="s">
        <v>2053</v>
      </c>
      <c r="H195" s="20" t="s">
        <v>2054</v>
      </c>
      <c r="I195" s="20" t="s">
        <v>2055</v>
      </c>
      <c r="J195" s="20" t="s">
        <v>2056</v>
      </c>
      <c r="K195" s="20" t="s">
        <v>2057</v>
      </c>
      <c r="L195" s="20" t="s">
        <v>2058</v>
      </c>
      <c r="M195" s="19" t="s">
        <v>35</v>
      </c>
      <c r="N195" s="19" t="s">
        <v>36</v>
      </c>
      <c r="O195" s="19" t="s">
        <v>37</v>
      </c>
      <c r="P195" s="19" t="s">
        <v>38</v>
      </c>
      <c r="Q195" s="19" t="str">
        <f t="shared" si="1"/>
        <v>HSK1-VOCAB-191</v>
      </c>
      <c r="R195" s="19" t="str">
        <f t="shared" si="2"/>
        <v>Chinese::HSK::HSK1::Vocabulary</v>
      </c>
      <c r="S195" s="20" t="s">
        <v>1818</v>
      </c>
      <c r="T195" s="19"/>
    </row>
    <row r="196" ht="30.0" customHeight="1">
      <c r="A196" s="39" t="s">
        <v>2059</v>
      </c>
      <c r="B196" s="35" t="str">
        <f t="shared" si="6"/>
        <v>jiā</v>
      </c>
      <c r="C196" s="35" t="str">
        <f t="shared" si="7"/>
        <v>add</v>
      </c>
      <c r="D196" s="36" t="s">
        <v>2060</v>
      </c>
      <c r="E196" s="20" t="s">
        <v>513</v>
      </c>
      <c r="F196" s="31" t="s">
        <v>2061</v>
      </c>
      <c r="G196" s="20" t="s">
        <v>2062</v>
      </c>
      <c r="H196" s="20" t="s">
        <v>2063</v>
      </c>
      <c r="I196" s="20" t="s">
        <v>2064</v>
      </c>
      <c r="J196" s="20" t="s">
        <v>2065</v>
      </c>
      <c r="K196" s="20" t="s">
        <v>2066</v>
      </c>
      <c r="L196" s="20" t="s">
        <v>2067</v>
      </c>
      <c r="M196" s="19" t="s">
        <v>35</v>
      </c>
      <c r="N196" s="19" t="s">
        <v>36</v>
      </c>
      <c r="O196" s="19" t="s">
        <v>37</v>
      </c>
      <c r="P196" s="19" t="s">
        <v>38</v>
      </c>
      <c r="Q196" s="19" t="str">
        <f t="shared" si="1"/>
        <v>HSK1-VOCAB-192</v>
      </c>
      <c r="R196" s="19" t="str">
        <f t="shared" si="2"/>
        <v>Chinese::HSK::HSK1::Vocabulary</v>
      </c>
      <c r="S196" s="20" t="s">
        <v>1818</v>
      </c>
      <c r="T196" s="19"/>
    </row>
    <row r="197" ht="30.0" customHeight="1">
      <c r="A197" s="39" t="s">
        <v>2068</v>
      </c>
      <c r="B197" s="35" t="str">
        <f t="shared" si="6"/>
        <v>jiǎ</v>
      </c>
      <c r="C197" s="35" t="str">
        <f t="shared" si="7"/>
        <v>Fake</v>
      </c>
      <c r="D197" s="35" t="str">
        <f>vi_translate(A197)</f>
        <v>Giả mạo</v>
      </c>
      <c r="E197" s="20" t="s">
        <v>240</v>
      </c>
      <c r="F197" s="31" t="s">
        <v>2069</v>
      </c>
      <c r="G197" s="20" t="s">
        <v>2070</v>
      </c>
      <c r="H197" s="20" t="s">
        <v>2071</v>
      </c>
      <c r="I197" s="20" t="s">
        <v>2072</v>
      </c>
      <c r="J197" s="20" t="s">
        <v>2073</v>
      </c>
      <c r="K197" s="20" t="s">
        <v>2074</v>
      </c>
      <c r="L197" s="20" t="s">
        <v>830</v>
      </c>
      <c r="M197" s="19" t="s">
        <v>35</v>
      </c>
      <c r="N197" s="19" t="s">
        <v>36</v>
      </c>
      <c r="O197" s="19" t="s">
        <v>37</v>
      </c>
      <c r="P197" s="19" t="s">
        <v>38</v>
      </c>
      <c r="Q197" s="19" t="str">
        <f t="shared" si="1"/>
        <v>HSK1-VOCAB-193</v>
      </c>
      <c r="R197" s="19" t="str">
        <f t="shared" si="2"/>
        <v>Chinese::HSK::HSK1::Vocabulary</v>
      </c>
      <c r="S197" s="20" t="s">
        <v>1818</v>
      </c>
      <c r="T197" s="19"/>
    </row>
    <row r="198" ht="30.0" customHeight="1">
      <c r="A198" s="34" t="s">
        <v>2075</v>
      </c>
      <c r="B198" s="35" t="s">
        <v>2076</v>
      </c>
      <c r="C198" s="35" t="s">
        <v>2077</v>
      </c>
      <c r="D198" s="35" t="s">
        <v>2078</v>
      </c>
      <c r="E198" s="19" t="s">
        <v>27</v>
      </c>
      <c r="F198" s="18" t="s">
        <v>2079</v>
      </c>
      <c r="G198" s="20" t="s">
        <v>2080</v>
      </c>
      <c r="H198" s="20" t="s">
        <v>2081</v>
      </c>
      <c r="I198" s="20" t="s">
        <v>2082</v>
      </c>
      <c r="J198" s="20" t="s">
        <v>2083</v>
      </c>
      <c r="K198" s="20" t="s">
        <v>2084</v>
      </c>
      <c r="L198" s="20" t="s">
        <v>2085</v>
      </c>
      <c r="M198" s="19" t="s">
        <v>35</v>
      </c>
      <c r="N198" s="19" t="s">
        <v>36</v>
      </c>
      <c r="O198" s="19" t="s">
        <v>37</v>
      </c>
      <c r="P198" s="19" t="s">
        <v>38</v>
      </c>
      <c r="Q198" s="19" t="str">
        <f t="shared" si="1"/>
        <v>HSK1-VOCAB-194</v>
      </c>
      <c r="R198" s="19" t="str">
        <f t="shared" si="2"/>
        <v>Chinese::HSK::HSK1::Vocabulary</v>
      </c>
      <c r="S198" s="20" t="s">
        <v>1818</v>
      </c>
      <c r="T198" s="19" t="s">
        <v>40</v>
      </c>
    </row>
    <row r="199" ht="30.0" customHeight="1">
      <c r="A199" s="39" t="s">
        <v>2086</v>
      </c>
      <c r="B199" s="35" t="str">
        <f t="shared" ref="B199:B201" si="10">pinyin(A199)</f>
        <v>yóu</v>
      </c>
      <c r="C199" s="35" t="str">
        <f>en_translate(A199)</f>
        <v>Oil</v>
      </c>
      <c r="D199" s="35" t="str">
        <f>vi_translate(A199)</f>
        <v>Dầu</v>
      </c>
      <c r="E199" s="20" t="s">
        <v>27</v>
      </c>
      <c r="F199" s="31" t="s">
        <v>2087</v>
      </c>
      <c r="G199" s="20" t="s">
        <v>2088</v>
      </c>
      <c r="H199" s="20" t="s">
        <v>2089</v>
      </c>
      <c r="I199" s="20" t="s">
        <v>2090</v>
      </c>
      <c r="J199" s="20" t="s">
        <v>2091</v>
      </c>
      <c r="K199" s="20" t="s">
        <v>2092</v>
      </c>
      <c r="L199" s="20" t="s">
        <v>2093</v>
      </c>
      <c r="M199" s="19" t="s">
        <v>35</v>
      </c>
      <c r="N199" s="19" t="s">
        <v>36</v>
      </c>
      <c r="O199" s="19" t="s">
        <v>37</v>
      </c>
      <c r="P199" s="19" t="s">
        <v>38</v>
      </c>
      <c r="Q199" s="19" t="str">
        <f t="shared" si="1"/>
        <v>HSK1-VOCAB-195</v>
      </c>
      <c r="R199" s="19" t="str">
        <f t="shared" si="2"/>
        <v>Chinese::HSK::HSK1::Vocabulary</v>
      </c>
      <c r="S199" s="20" t="s">
        <v>1818</v>
      </c>
      <c r="T199" s="19"/>
    </row>
    <row r="200" ht="30.0" customHeight="1">
      <c r="A200" s="39" t="s">
        <v>2094</v>
      </c>
      <c r="B200" s="35" t="str">
        <f t="shared" si="10"/>
        <v>niú</v>
      </c>
      <c r="C200" s="36" t="s">
        <v>2095</v>
      </c>
      <c r="D200" s="36" t="s">
        <v>2096</v>
      </c>
      <c r="E200" s="20" t="s">
        <v>27</v>
      </c>
      <c r="F200" s="31" t="s">
        <v>2097</v>
      </c>
      <c r="G200" s="20" t="s">
        <v>2098</v>
      </c>
      <c r="H200" s="20" t="s">
        <v>2099</v>
      </c>
      <c r="I200" s="20" t="s">
        <v>2100</v>
      </c>
      <c r="J200" s="20" t="s">
        <v>2101</v>
      </c>
      <c r="K200" s="20" t="s">
        <v>2102</v>
      </c>
      <c r="L200" s="20" t="s">
        <v>2103</v>
      </c>
      <c r="M200" s="19" t="s">
        <v>35</v>
      </c>
      <c r="N200" s="19" t="s">
        <v>36</v>
      </c>
      <c r="O200" s="19" t="s">
        <v>37</v>
      </c>
      <c r="P200" s="19" t="s">
        <v>38</v>
      </c>
      <c r="Q200" s="19" t="str">
        <f t="shared" si="1"/>
        <v>HSK1-VOCAB-196</v>
      </c>
      <c r="R200" s="19" t="str">
        <f t="shared" si="2"/>
        <v>Chinese::HSK::HSK1::Vocabulary</v>
      </c>
      <c r="S200" s="20" t="s">
        <v>1818</v>
      </c>
      <c r="T200" s="19"/>
    </row>
    <row r="201" ht="30.0" customHeight="1">
      <c r="A201" s="39" t="s">
        <v>2104</v>
      </c>
      <c r="B201" s="35" t="str">
        <f t="shared" si="10"/>
        <v>ròu</v>
      </c>
      <c r="C201" s="35" t="str">
        <f>en_translate(A201)</f>
        <v>Meat</v>
      </c>
      <c r="D201" s="35" t="str">
        <f>vi_translate(A201)</f>
        <v>Thịt</v>
      </c>
      <c r="E201" s="20" t="s">
        <v>27</v>
      </c>
      <c r="F201" s="31" t="s">
        <v>2105</v>
      </c>
      <c r="G201" s="20" t="s">
        <v>2106</v>
      </c>
      <c r="H201" s="20" t="s">
        <v>2107</v>
      </c>
      <c r="I201" s="20" t="s">
        <v>2108</v>
      </c>
      <c r="J201" s="20" t="s">
        <v>2109</v>
      </c>
      <c r="K201" s="20" t="s">
        <v>2110</v>
      </c>
      <c r="L201" s="20" t="s">
        <v>2111</v>
      </c>
      <c r="M201" s="19" t="s">
        <v>35</v>
      </c>
      <c r="N201" s="19" t="s">
        <v>36</v>
      </c>
      <c r="O201" s="19" t="s">
        <v>37</v>
      </c>
      <c r="P201" s="19" t="s">
        <v>38</v>
      </c>
      <c r="Q201" s="19" t="str">
        <f t="shared" si="1"/>
        <v>HSK1-VOCAB-197</v>
      </c>
      <c r="R201" s="19" t="str">
        <f t="shared" si="2"/>
        <v>Chinese::HSK::HSK1::Vocabulary</v>
      </c>
      <c r="S201" s="20" t="s">
        <v>1818</v>
      </c>
      <c r="T201" s="19"/>
    </row>
    <row r="202" ht="30.0" customHeight="1">
      <c r="A202" s="34" t="s">
        <v>2112</v>
      </c>
      <c r="B202" s="35" t="s">
        <v>2113</v>
      </c>
      <c r="C202" s="35" t="s">
        <v>2114</v>
      </c>
      <c r="D202" s="35" t="s">
        <v>2115</v>
      </c>
      <c r="E202" s="19" t="s">
        <v>318</v>
      </c>
      <c r="F202" s="18" t="s">
        <v>2116</v>
      </c>
      <c r="G202" s="19" t="s">
        <v>2117</v>
      </c>
      <c r="H202" s="19" t="s">
        <v>2118</v>
      </c>
      <c r="I202" s="19" t="s">
        <v>2119</v>
      </c>
      <c r="J202" s="19" t="s">
        <v>2120</v>
      </c>
      <c r="K202" s="19" t="s">
        <v>2121</v>
      </c>
      <c r="L202" s="19" t="s">
        <v>2122</v>
      </c>
      <c r="M202" s="19" t="s">
        <v>35</v>
      </c>
      <c r="N202" s="19" t="s">
        <v>36</v>
      </c>
      <c r="O202" s="19" t="s">
        <v>37</v>
      </c>
      <c r="P202" s="19" t="s">
        <v>38</v>
      </c>
      <c r="Q202" s="19" t="str">
        <f t="shared" si="1"/>
        <v>HSK1-VOCAB-198</v>
      </c>
      <c r="R202" s="19" t="str">
        <f t="shared" si="2"/>
        <v>Chinese::HSK::HSK1::Vocabulary</v>
      </c>
      <c r="S202" s="21" t="s">
        <v>2123</v>
      </c>
      <c r="T202" s="4"/>
    </row>
    <row r="203" ht="30.0" customHeight="1">
      <c r="A203" s="34" t="s">
        <v>2124</v>
      </c>
      <c r="B203" s="35" t="s">
        <v>2125</v>
      </c>
      <c r="C203" s="35" t="s">
        <v>2126</v>
      </c>
      <c r="D203" s="35" t="s">
        <v>2127</v>
      </c>
      <c r="E203" s="19" t="s">
        <v>27</v>
      </c>
      <c r="F203" s="18" t="s">
        <v>2128</v>
      </c>
      <c r="G203" s="19" t="s">
        <v>2129</v>
      </c>
      <c r="H203" s="19" t="s">
        <v>2130</v>
      </c>
      <c r="I203" s="19" t="s">
        <v>2131</v>
      </c>
      <c r="J203" s="19" t="s">
        <v>2132</v>
      </c>
      <c r="K203" s="19" t="s">
        <v>2133</v>
      </c>
      <c r="L203" s="19" t="s">
        <v>2134</v>
      </c>
      <c r="M203" s="19" t="s">
        <v>35</v>
      </c>
      <c r="N203" s="19" t="s">
        <v>36</v>
      </c>
      <c r="O203" s="19" t="s">
        <v>37</v>
      </c>
      <c r="P203" s="19" t="s">
        <v>38</v>
      </c>
      <c r="Q203" s="19" t="str">
        <f t="shared" si="1"/>
        <v>HSK1-VOCAB-199</v>
      </c>
      <c r="R203" s="19" t="str">
        <f t="shared" si="2"/>
        <v>Chinese::HSK::HSK1::Vocabulary</v>
      </c>
      <c r="S203" s="21" t="s">
        <v>2123</v>
      </c>
      <c r="T203" s="4"/>
    </row>
    <row r="204" ht="30.0" customHeight="1">
      <c r="A204" s="34" t="s">
        <v>2135</v>
      </c>
      <c r="B204" s="35" t="s">
        <v>2136</v>
      </c>
      <c r="C204" s="35" t="s">
        <v>2137</v>
      </c>
      <c r="D204" s="35" t="s">
        <v>2138</v>
      </c>
      <c r="E204" s="19" t="s">
        <v>513</v>
      </c>
      <c r="F204" s="18" t="s">
        <v>2139</v>
      </c>
      <c r="G204" s="19" t="s">
        <v>2140</v>
      </c>
      <c r="H204" s="19" t="s">
        <v>2141</v>
      </c>
      <c r="I204" s="19" t="s">
        <v>2142</v>
      </c>
      <c r="J204" s="19" t="s">
        <v>2143</v>
      </c>
      <c r="K204" s="19" t="s">
        <v>2144</v>
      </c>
      <c r="L204" s="19" t="s">
        <v>2067</v>
      </c>
      <c r="M204" s="19" t="s">
        <v>35</v>
      </c>
      <c r="N204" s="19" t="s">
        <v>36</v>
      </c>
      <c r="O204" s="19" t="s">
        <v>37</v>
      </c>
      <c r="P204" s="19" t="s">
        <v>38</v>
      </c>
      <c r="Q204" s="19" t="str">
        <f t="shared" si="1"/>
        <v>HSK1-VOCAB-200</v>
      </c>
      <c r="R204" s="19" t="str">
        <f t="shared" si="2"/>
        <v>Chinese::HSK::HSK1::Vocabulary</v>
      </c>
      <c r="S204" s="21" t="s">
        <v>2123</v>
      </c>
      <c r="T204" s="4"/>
    </row>
    <row r="205" ht="30.0" customHeight="1">
      <c r="A205" s="34" t="s">
        <v>2145</v>
      </c>
      <c r="B205" s="35" t="s">
        <v>2146</v>
      </c>
      <c r="C205" s="35" t="s">
        <v>2147</v>
      </c>
      <c r="D205" s="35" t="s">
        <v>2148</v>
      </c>
      <c r="E205" s="19" t="s">
        <v>513</v>
      </c>
      <c r="F205" s="18" t="s">
        <v>2149</v>
      </c>
      <c r="G205" s="19" t="s">
        <v>2150</v>
      </c>
      <c r="H205" s="19" t="s">
        <v>2151</v>
      </c>
      <c r="I205" s="19" t="s">
        <v>2152</v>
      </c>
      <c r="J205" s="19" t="s">
        <v>2153</v>
      </c>
      <c r="K205" s="19" t="s">
        <v>2154</v>
      </c>
      <c r="L205" s="19" t="s">
        <v>2155</v>
      </c>
      <c r="M205" s="19" t="s">
        <v>35</v>
      </c>
      <c r="N205" s="19" t="s">
        <v>36</v>
      </c>
      <c r="O205" s="19" t="s">
        <v>37</v>
      </c>
      <c r="P205" s="19" t="s">
        <v>38</v>
      </c>
      <c r="Q205" s="19" t="str">
        <f t="shared" si="1"/>
        <v>HSK1-VOCAB-201</v>
      </c>
      <c r="R205" s="19" t="str">
        <f t="shared" si="2"/>
        <v>Chinese::HSK::HSK1::Vocabulary</v>
      </c>
      <c r="S205" s="21" t="s">
        <v>2123</v>
      </c>
      <c r="T205" s="4"/>
    </row>
    <row r="206" ht="30.0" customHeight="1">
      <c r="A206" s="34" t="s">
        <v>2156</v>
      </c>
      <c r="B206" s="35" t="s">
        <v>2157</v>
      </c>
      <c r="C206" s="35" t="s">
        <v>2158</v>
      </c>
      <c r="D206" s="35" t="s">
        <v>2159</v>
      </c>
      <c r="E206" s="19" t="s">
        <v>240</v>
      </c>
      <c r="F206" s="18" t="s">
        <v>2160</v>
      </c>
      <c r="G206" s="19" t="s">
        <v>2161</v>
      </c>
      <c r="H206" s="19" t="s">
        <v>2162</v>
      </c>
      <c r="I206" s="19" t="s">
        <v>2163</v>
      </c>
      <c r="J206" s="19" t="s">
        <v>2164</v>
      </c>
      <c r="K206" s="19" t="s">
        <v>2165</v>
      </c>
      <c r="L206" s="19" t="s">
        <v>830</v>
      </c>
      <c r="M206" s="19" t="s">
        <v>35</v>
      </c>
      <c r="N206" s="19" t="s">
        <v>36</v>
      </c>
      <c r="O206" s="19" t="s">
        <v>37</v>
      </c>
      <c r="P206" s="19" t="s">
        <v>38</v>
      </c>
      <c r="Q206" s="19" t="str">
        <f t="shared" si="1"/>
        <v>HSK1-VOCAB-202</v>
      </c>
      <c r="R206" s="19" t="str">
        <f t="shared" si="2"/>
        <v>Chinese::HSK::HSK1::Vocabulary</v>
      </c>
      <c r="S206" s="21" t="s">
        <v>2123</v>
      </c>
      <c r="T206" s="4"/>
    </row>
    <row r="207" ht="30.0" customHeight="1">
      <c r="A207" s="34" t="s">
        <v>2166</v>
      </c>
      <c r="B207" s="35" t="s">
        <v>2167</v>
      </c>
      <c r="C207" s="35" t="s">
        <v>2168</v>
      </c>
      <c r="D207" s="35" t="s">
        <v>449</v>
      </c>
      <c r="E207" s="19" t="s">
        <v>318</v>
      </c>
      <c r="F207" s="18" t="s">
        <v>2169</v>
      </c>
      <c r="G207" s="19" t="s">
        <v>2170</v>
      </c>
      <c r="H207" s="19" t="s">
        <v>2171</v>
      </c>
      <c r="I207" s="19" t="s">
        <v>2172</v>
      </c>
      <c r="J207" s="19" t="s">
        <v>2173</v>
      </c>
      <c r="K207" s="19" t="s">
        <v>2174</v>
      </c>
      <c r="L207" s="19" t="s">
        <v>2175</v>
      </c>
      <c r="M207" s="19" t="s">
        <v>35</v>
      </c>
      <c r="N207" s="19" t="s">
        <v>36</v>
      </c>
      <c r="O207" s="19" t="s">
        <v>37</v>
      </c>
      <c r="P207" s="19" t="s">
        <v>38</v>
      </c>
      <c r="Q207" s="19" t="str">
        <f t="shared" si="1"/>
        <v>HSK1-VOCAB-203</v>
      </c>
      <c r="R207" s="19" t="str">
        <f t="shared" si="2"/>
        <v>Chinese::HSK::HSK1::Vocabulary</v>
      </c>
      <c r="S207" s="21" t="s">
        <v>2123</v>
      </c>
      <c r="T207" s="4"/>
    </row>
    <row r="208" ht="30.0" customHeight="1">
      <c r="A208" s="34" t="s">
        <v>2176</v>
      </c>
      <c r="B208" s="35" t="s">
        <v>2177</v>
      </c>
      <c r="C208" s="35" t="s">
        <v>2178</v>
      </c>
      <c r="D208" s="35" t="s">
        <v>2179</v>
      </c>
      <c r="E208" s="19" t="s">
        <v>27</v>
      </c>
      <c r="F208" s="18" t="s">
        <v>2180</v>
      </c>
      <c r="G208" s="19" t="s">
        <v>2181</v>
      </c>
      <c r="H208" s="19" t="s">
        <v>2182</v>
      </c>
      <c r="I208" s="19" t="s">
        <v>2183</v>
      </c>
      <c r="J208" s="19" t="s">
        <v>2184</v>
      </c>
      <c r="K208" s="19" t="s">
        <v>2185</v>
      </c>
      <c r="L208" s="19" t="s">
        <v>2186</v>
      </c>
      <c r="M208" s="19" t="s">
        <v>35</v>
      </c>
      <c r="N208" s="19" t="s">
        <v>36</v>
      </c>
      <c r="O208" s="19" t="s">
        <v>37</v>
      </c>
      <c r="P208" s="19" t="s">
        <v>38</v>
      </c>
      <c r="Q208" s="19" t="str">
        <f t="shared" si="1"/>
        <v>HSK1-VOCAB-204</v>
      </c>
      <c r="R208" s="19" t="str">
        <f t="shared" si="2"/>
        <v>Chinese::HSK::HSK1::Vocabulary</v>
      </c>
      <c r="S208" s="21" t="s">
        <v>2123</v>
      </c>
      <c r="T208" s="4"/>
    </row>
    <row r="209" ht="30.0" customHeight="1">
      <c r="A209" s="34" t="s">
        <v>2187</v>
      </c>
      <c r="B209" s="35" t="s">
        <v>1270</v>
      </c>
      <c r="C209" s="35" t="s">
        <v>2188</v>
      </c>
      <c r="D209" s="35" t="s">
        <v>2189</v>
      </c>
      <c r="E209" s="19" t="s">
        <v>318</v>
      </c>
      <c r="F209" s="18" t="s">
        <v>2190</v>
      </c>
      <c r="G209" s="19" t="s">
        <v>2191</v>
      </c>
      <c r="H209" s="19" t="s">
        <v>2192</v>
      </c>
      <c r="I209" s="19" t="s">
        <v>2193</v>
      </c>
      <c r="J209" s="19" t="s">
        <v>2194</v>
      </c>
      <c r="K209" s="19" t="s">
        <v>2195</v>
      </c>
      <c r="L209" s="19" t="s">
        <v>2196</v>
      </c>
      <c r="M209" s="19" t="s">
        <v>35</v>
      </c>
      <c r="N209" s="19" t="s">
        <v>36</v>
      </c>
      <c r="O209" s="19" t="s">
        <v>37</v>
      </c>
      <c r="P209" s="19" t="s">
        <v>38</v>
      </c>
      <c r="Q209" s="19" t="str">
        <f t="shared" si="1"/>
        <v>HSK1-VOCAB-205</v>
      </c>
      <c r="R209" s="19" t="str">
        <f t="shared" si="2"/>
        <v>Chinese::HSK::HSK1::Vocabulary</v>
      </c>
      <c r="S209" s="21" t="s">
        <v>2123</v>
      </c>
      <c r="T209" s="4"/>
    </row>
    <row r="210" ht="30.0" customHeight="1">
      <c r="A210" s="34" t="s">
        <v>2197</v>
      </c>
      <c r="B210" s="35" t="s">
        <v>2198</v>
      </c>
      <c r="C210" s="35" t="s">
        <v>2199</v>
      </c>
      <c r="D210" s="35" t="s">
        <v>2200</v>
      </c>
      <c r="E210" s="19" t="s">
        <v>513</v>
      </c>
      <c r="F210" s="18" t="s">
        <v>2201</v>
      </c>
      <c r="G210" s="19" t="s">
        <v>2202</v>
      </c>
      <c r="H210" s="19" t="s">
        <v>2203</v>
      </c>
      <c r="I210" s="19" t="s">
        <v>2204</v>
      </c>
      <c r="J210" s="19" t="s">
        <v>2205</v>
      </c>
      <c r="K210" s="19" t="s">
        <v>2206</v>
      </c>
      <c r="L210" s="19" t="s">
        <v>2207</v>
      </c>
      <c r="M210" s="19" t="s">
        <v>35</v>
      </c>
      <c r="N210" s="19" t="s">
        <v>36</v>
      </c>
      <c r="O210" s="19" t="s">
        <v>37</v>
      </c>
      <c r="P210" s="19" t="s">
        <v>38</v>
      </c>
      <c r="Q210" s="19" t="str">
        <f t="shared" si="1"/>
        <v>HSK1-VOCAB-206</v>
      </c>
      <c r="R210" s="19" t="str">
        <f t="shared" si="2"/>
        <v>Chinese::HSK::HSK1::Vocabulary</v>
      </c>
      <c r="S210" s="21" t="s">
        <v>2123</v>
      </c>
      <c r="T210" s="4"/>
    </row>
    <row r="211" ht="30.0" customHeight="1">
      <c r="A211" s="34" t="s">
        <v>2208</v>
      </c>
      <c r="B211" s="35" t="s">
        <v>2209</v>
      </c>
      <c r="C211" s="35" t="s">
        <v>2210</v>
      </c>
      <c r="D211" s="35" t="s">
        <v>2211</v>
      </c>
      <c r="E211" s="19" t="s">
        <v>27</v>
      </c>
      <c r="F211" s="18" t="s">
        <v>2212</v>
      </c>
      <c r="G211" s="19" t="s">
        <v>2213</v>
      </c>
      <c r="H211" s="19" t="s">
        <v>2214</v>
      </c>
      <c r="I211" s="19" t="s">
        <v>2215</v>
      </c>
      <c r="J211" s="19" t="s">
        <v>2216</v>
      </c>
      <c r="K211" s="19" t="s">
        <v>2217</v>
      </c>
      <c r="L211" s="19" t="s">
        <v>2218</v>
      </c>
      <c r="M211" s="19" t="s">
        <v>35</v>
      </c>
      <c r="N211" s="19" t="s">
        <v>36</v>
      </c>
      <c r="O211" s="19" t="s">
        <v>37</v>
      </c>
      <c r="P211" s="19" t="s">
        <v>38</v>
      </c>
      <c r="Q211" s="19" t="str">
        <f t="shared" si="1"/>
        <v>HSK1-VOCAB-207</v>
      </c>
      <c r="R211" s="19" t="str">
        <f t="shared" si="2"/>
        <v>Chinese::HSK::HSK1::Vocabulary</v>
      </c>
      <c r="S211" s="21" t="s">
        <v>2123</v>
      </c>
      <c r="T211" s="4"/>
    </row>
    <row r="212" ht="30.0" customHeight="1">
      <c r="A212" s="34" t="s">
        <v>2219</v>
      </c>
      <c r="B212" s="35" t="s">
        <v>2220</v>
      </c>
      <c r="C212" s="35" t="s">
        <v>1217</v>
      </c>
      <c r="D212" s="35" t="s">
        <v>2221</v>
      </c>
      <c r="E212" s="19" t="s">
        <v>27</v>
      </c>
      <c r="F212" s="18" t="s">
        <v>2222</v>
      </c>
      <c r="G212" s="19" t="s">
        <v>2223</v>
      </c>
      <c r="H212" s="19" t="s">
        <v>2224</v>
      </c>
      <c r="I212" s="19" t="s">
        <v>2225</v>
      </c>
      <c r="J212" s="19" t="s">
        <v>2226</v>
      </c>
      <c r="K212" s="19" t="s">
        <v>2227</v>
      </c>
      <c r="L212" s="19" t="s">
        <v>2228</v>
      </c>
      <c r="M212" s="19" t="s">
        <v>35</v>
      </c>
      <c r="N212" s="19" t="s">
        <v>36</v>
      </c>
      <c r="O212" s="19" t="s">
        <v>37</v>
      </c>
      <c r="P212" s="19" t="s">
        <v>38</v>
      </c>
      <c r="Q212" s="19" t="str">
        <f t="shared" si="1"/>
        <v>HSK1-VOCAB-208</v>
      </c>
      <c r="R212" s="19" t="str">
        <f t="shared" si="2"/>
        <v>Chinese::HSK::HSK1::Vocabulary</v>
      </c>
      <c r="S212" s="21" t="s">
        <v>2123</v>
      </c>
      <c r="T212" s="4"/>
    </row>
    <row r="213" ht="30.0" customHeight="1">
      <c r="A213" s="34" t="s">
        <v>2229</v>
      </c>
      <c r="B213" s="35" t="s">
        <v>2230</v>
      </c>
      <c r="C213" s="35" t="s">
        <v>2231</v>
      </c>
      <c r="D213" s="35" t="s">
        <v>2232</v>
      </c>
      <c r="E213" s="19" t="s">
        <v>27</v>
      </c>
      <c r="F213" s="18" t="s">
        <v>2233</v>
      </c>
      <c r="G213" s="19" t="s">
        <v>2234</v>
      </c>
      <c r="H213" s="19" t="s">
        <v>2235</v>
      </c>
      <c r="I213" s="19" t="s">
        <v>2236</v>
      </c>
      <c r="J213" s="19" t="s">
        <v>2237</v>
      </c>
      <c r="K213" s="19" t="s">
        <v>2238</v>
      </c>
      <c r="L213" s="19" t="s">
        <v>2239</v>
      </c>
      <c r="M213" s="19" t="s">
        <v>35</v>
      </c>
      <c r="N213" s="19" t="s">
        <v>36</v>
      </c>
      <c r="O213" s="19" t="s">
        <v>37</v>
      </c>
      <c r="P213" s="19" t="s">
        <v>38</v>
      </c>
      <c r="Q213" s="19" t="str">
        <f t="shared" si="1"/>
        <v>HSK1-VOCAB-209</v>
      </c>
      <c r="R213" s="19" t="str">
        <f t="shared" si="2"/>
        <v>Chinese::HSK::HSK1::Vocabulary</v>
      </c>
      <c r="S213" s="21" t="s">
        <v>2240</v>
      </c>
      <c r="T213" s="4"/>
    </row>
    <row r="214" ht="30.0" customHeight="1">
      <c r="A214" s="34" t="s">
        <v>2241</v>
      </c>
      <c r="B214" s="35" t="s">
        <v>2242</v>
      </c>
      <c r="C214" s="35" t="s">
        <v>2243</v>
      </c>
      <c r="D214" s="35" t="s">
        <v>2244</v>
      </c>
      <c r="E214" s="19" t="s">
        <v>27</v>
      </c>
      <c r="F214" s="18" t="s">
        <v>2245</v>
      </c>
      <c r="G214" s="19" t="s">
        <v>2246</v>
      </c>
      <c r="H214" s="19" t="s">
        <v>2247</v>
      </c>
      <c r="I214" s="19" t="s">
        <v>2248</v>
      </c>
      <c r="J214" s="19" t="s">
        <v>2249</v>
      </c>
      <c r="K214" s="19" t="s">
        <v>2250</v>
      </c>
      <c r="L214" s="19" t="s">
        <v>2251</v>
      </c>
      <c r="M214" s="19" t="s">
        <v>35</v>
      </c>
      <c r="N214" s="19" t="s">
        <v>36</v>
      </c>
      <c r="O214" s="19" t="s">
        <v>37</v>
      </c>
      <c r="P214" s="19" t="s">
        <v>38</v>
      </c>
      <c r="Q214" s="19" t="str">
        <f t="shared" si="1"/>
        <v>HSK1-VOCAB-210</v>
      </c>
      <c r="R214" s="19" t="str">
        <f t="shared" si="2"/>
        <v>Chinese::HSK::HSK1::Vocabulary</v>
      </c>
      <c r="S214" s="21" t="s">
        <v>2123</v>
      </c>
      <c r="T214" s="4"/>
    </row>
    <row r="215" ht="30.0" customHeight="1">
      <c r="A215" s="34" t="s">
        <v>2252</v>
      </c>
      <c r="B215" s="35" t="s">
        <v>2253</v>
      </c>
      <c r="C215" s="35" t="s">
        <v>2254</v>
      </c>
      <c r="D215" s="35" t="s">
        <v>2255</v>
      </c>
      <c r="E215" s="19" t="s">
        <v>27</v>
      </c>
      <c r="F215" s="22" t="s">
        <v>2256</v>
      </c>
      <c r="G215" s="23" t="s">
        <v>2257</v>
      </c>
      <c r="H215" s="23" t="s">
        <v>2258</v>
      </c>
      <c r="I215" s="23" t="s">
        <v>2259</v>
      </c>
      <c r="J215" s="23" t="s">
        <v>2260</v>
      </c>
      <c r="K215" s="23" t="s">
        <v>2261</v>
      </c>
      <c r="L215" s="23" t="s">
        <v>401</v>
      </c>
      <c r="M215" s="23" t="s">
        <v>35</v>
      </c>
      <c r="N215" s="23" t="s">
        <v>36</v>
      </c>
      <c r="O215" s="23" t="s">
        <v>37</v>
      </c>
      <c r="P215" s="23" t="s">
        <v>38</v>
      </c>
      <c r="Q215" s="19" t="str">
        <f t="shared" si="1"/>
        <v>HSK1-VOCAB-211</v>
      </c>
      <c r="R215" s="19" t="str">
        <f t="shared" si="2"/>
        <v>Chinese::HSK::HSK1::Vocabulary</v>
      </c>
      <c r="S215" s="21" t="s">
        <v>2123</v>
      </c>
      <c r="T215" s="32"/>
    </row>
    <row r="216" ht="30.0" customHeight="1">
      <c r="A216" s="34" t="s">
        <v>2262</v>
      </c>
      <c r="B216" s="35" t="s">
        <v>2263</v>
      </c>
      <c r="C216" s="35" t="s">
        <v>2264</v>
      </c>
      <c r="D216" s="35" t="s">
        <v>2265</v>
      </c>
      <c r="E216" s="19" t="s">
        <v>27</v>
      </c>
      <c r="F216" s="18" t="s">
        <v>2266</v>
      </c>
      <c r="G216" s="19" t="s">
        <v>2267</v>
      </c>
      <c r="H216" s="19" t="s">
        <v>2268</v>
      </c>
      <c r="I216" s="19" t="s">
        <v>2269</v>
      </c>
      <c r="J216" s="19" t="s">
        <v>2270</v>
      </c>
      <c r="K216" s="19" t="s">
        <v>2271</v>
      </c>
      <c r="L216" s="19" t="s">
        <v>401</v>
      </c>
      <c r="M216" s="19" t="s">
        <v>35</v>
      </c>
      <c r="N216" s="19" t="s">
        <v>36</v>
      </c>
      <c r="O216" s="19" t="s">
        <v>37</v>
      </c>
      <c r="P216" s="19" t="s">
        <v>38</v>
      </c>
      <c r="Q216" s="19" t="str">
        <f t="shared" si="1"/>
        <v>HSK1-VOCAB-212</v>
      </c>
      <c r="R216" s="19" t="str">
        <f t="shared" si="2"/>
        <v>Chinese::HSK::HSK1::Vocabulary</v>
      </c>
      <c r="S216" s="21" t="s">
        <v>2123</v>
      </c>
      <c r="T216" s="4"/>
    </row>
    <row r="217" ht="30.0" customHeight="1">
      <c r="A217" s="34" t="s">
        <v>2272</v>
      </c>
      <c r="B217" s="35" t="s">
        <v>2273</v>
      </c>
      <c r="C217" s="35" t="s">
        <v>2274</v>
      </c>
      <c r="D217" s="35" t="s">
        <v>2275</v>
      </c>
      <c r="E217" s="19" t="s">
        <v>27</v>
      </c>
      <c r="F217" s="18" t="s">
        <v>2276</v>
      </c>
      <c r="G217" s="19" t="s">
        <v>2277</v>
      </c>
      <c r="H217" s="19" t="s">
        <v>2278</v>
      </c>
      <c r="I217" s="19" t="s">
        <v>2279</v>
      </c>
      <c r="J217" s="19" t="s">
        <v>2280</v>
      </c>
      <c r="K217" s="19" t="s">
        <v>2281</v>
      </c>
      <c r="L217" s="19" t="s">
        <v>401</v>
      </c>
      <c r="M217" s="19" t="s">
        <v>35</v>
      </c>
      <c r="N217" s="19" t="s">
        <v>36</v>
      </c>
      <c r="O217" s="19" t="s">
        <v>37</v>
      </c>
      <c r="P217" s="19" t="s">
        <v>38</v>
      </c>
      <c r="Q217" s="19" t="str">
        <f t="shared" si="1"/>
        <v>HSK1-VOCAB-213</v>
      </c>
      <c r="R217" s="19" t="str">
        <f t="shared" si="2"/>
        <v>Chinese::HSK::HSK1::Vocabulary</v>
      </c>
      <c r="S217" s="21" t="s">
        <v>2123</v>
      </c>
      <c r="T217" s="4"/>
    </row>
    <row r="218" ht="30.0" customHeight="1">
      <c r="A218" s="34" t="s">
        <v>2282</v>
      </c>
      <c r="B218" s="35" t="s">
        <v>2283</v>
      </c>
      <c r="C218" s="35" t="s">
        <v>2284</v>
      </c>
      <c r="D218" s="35" t="s">
        <v>2285</v>
      </c>
      <c r="E218" s="19" t="s">
        <v>27</v>
      </c>
      <c r="F218" s="18" t="s">
        <v>2286</v>
      </c>
      <c r="G218" s="19" t="s">
        <v>2287</v>
      </c>
      <c r="H218" s="19" t="s">
        <v>2288</v>
      </c>
      <c r="I218" s="19" t="s">
        <v>2289</v>
      </c>
      <c r="J218" s="19" t="s">
        <v>2290</v>
      </c>
      <c r="K218" s="19" t="s">
        <v>2009</v>
      </c>
      <c r="L218" s="19" t="s">
        <v>401</v>
      </c>
      <c r="M218" s="19" t="s">
        <v>35</v>
      </c>
      <c r="N218" s="19" t="s">
        <v>36</v>
      </c>
      <c r="O218" s="19" t="s">
        <v>37</v>
      </c>
      <c r="P218" s="19" t="s">
        <v>38</v>
      </c>
      <c r="Q218" s="19" t="str">
        <f t="shared" si="1"/>
        <v>HSK1-VOCAB-214</v>
      </c>
      <c r="R218" s="19" t="str">
        <f t="shared" si="2"/>
        <v>Chinese::HSK::HSK1::Vocabulary</v>
      </c>
      <c r="S218" s="21" t="s">
        <v>2123</v>
      </c>
      <c r="T218" s="4"/>
    </row>
    <row r="219" ht="30.0" customHeight="1">
      <c r="A219" s="34" t="s">
        <v>2291</v>
      </c>
      <c r="B219" s="35" t="s">
        <v>2292</v>
      </c>
      <c r="C219" s="35" t="s">
        <v>2293</v>
      </c>
      <c r="D219" s="35" t="s">
        <v>2294</v>
      </c>
      <c r="E219" s="19" t="s">
        <v>27</v>
      </c>
      <c r="F219" s="18" t="s">
        <v>2295</v>
      </c>
      <c r="G219" s="19" t="s">
        <v>2296</v>
      </c>
      <c r="H219" s="19" t="s">
        <v>2297</v>
      </c>
      <c r="I219" s="19" t="s">
        <v>2298</v>
      </c>
      <c r="J219" s="19" t="s">
        <v>2299</v>
      </c>
      <c r="K219" s="19" t="s">
        <v>2300</v>
      </c>
      <c r="L219" s="19" t="s">
        <v>401</v>
      </c>
      <c r="M219" s="19" t="s">
        <v>35</v>
      </c>
      <c r="N219" s="19" t="s">
        <v>36</v>
      </c>
      <c r="O219" s="19" t="s">
        <v>37</v>
      </c>
      <c r="P219" s="19" t="s">
        <v>38</v>
      </c>
      <c r="Q219" s="19" t="str">
        <f t="shared" si="1"/>
        <v>HSK1-VOCAB-215</v>
      </c>
      <c r="R219" s="19" t="str">
        <f t="shared" si="2"/>
        <v>Chinese::HSK::HSK1::Vocabulary</v>
      </c>
      <c r="S219" s="21" t="s">
        <v>2240</v>
      </c>
      <c r="T219" s="4"/>
    </row>
    <row r="220" ht="30.0" customHeight="1">
      <c r="A220" s="34" t="s">
        <v>2301</v>
      </c>
      <c r="B220" s="35" t="s">
        <v>2302</v>
      </c>
      <c r="C220" s="35" t="s">
        <v>2303</v>
      </c>
      <c r="D220" s="35" t="s">
        <v>306</v>
      </c>
      <c r="E220" s="19" t="s">
        <v>27</v>
      </c>
      <c r="F220" s="18" t="s">
        <v>2304</v>
      </c>
      <c r="G220" s="19" t="s">
        <v>2305</v>
      </c>
      <c r="H220" s="19" t="s">
        <v>2306</v>
      </c>
      <c r="I220" s="19" t="s">
        <v>2307</v>
      </c>
      <c r="J220" s="19" t="s">
        <v>2308</v>
      </c>
      <c r="K220" s="19" t="s">
        <v>2309</v>
      </c>
      <c r="L220" s="19" t="s">
        <v>2310</v>
      </c>
      <c r="M220" s="19" t="s">
        <v>35</v>
      </c>
      <c r="N220" s="19" t="s">
        <v>36</v>
      </c>
      <c r="O220" s="19" t="s">
        <v>37</v>
      </c>
      <c r="P220" s="19" t="s">
        <v>38</v>
      </c>
      <c r="Q220" s="19" t="str">
        <f t="shared" si="1"/>
        <v>HSK1-VOCAB-216</v>
      </c>
      <c r="R220" s="19" t="str">
        <f t="shared" si="2"/>
        <v>Chinese::HSK::HSK1::Vocabulary</v>
      </c>
      <c r="S220" s="21" t="s">
        <v>2123</v>
      </c>
      <c r="T220" s="4"/>
    </row>
    <row r="221" ht="30.0" customHeight="1">
      <c r="A221" s="34" t="s">
        <v>2311</v>
      </c>
      <c r="B221" s="35" t="s">
        <v>2312</v>
      </c>
      <c r="C221" s="35" t="s">
        <v>2313</v>
      </c>
      <c r="D221" s="35" t="s">
        <v>2314</v>
      </c>
      <c r="E221" s="19" t="s">
        <v>27</v>
      </c>
      <c r="F221" s="18" t="s">
        <v>2315</v>
      </c>
      <c r="G221" s="19" t="s">
        <v>2316</v>
      </c>
      <c r="H221" s="19" t="s">
        <v>2317</v>
      </c>
      <c r="I221" s="19" t="s">
        <v>2318</v>
      </c>
      <c r="J221" s="19" t="s">
        <v>2319</v>
      </c>
      <c r="K221" s="19" t="s">
        <v>2320</v>
      </c>
      <c r="L221" s="19" t="s">
        <v>2321</v>
      </c>
      <c r="M221" s="19" t="s">
        <v>35</v>
      </c>
      <c r="N221" s="19" t="s">
        <v>36</v>
      </c>
      <c r="O221" s="19" t="s">
        <v>37</v>
      </c>
      <c r="P221" s="19" t="s">
        <v>38</v>
      </c>
      <c r="Q221" s="19" t="str">
        <f t="shared" si="1"/>
        <v>HSK1-VOCAB-217</v>
      </c>
      <c r="R221" s="19" t="str">
        <f t="shared" si="2"/>
        <v>Chinese::HSK::HSK1::Vocabulary</v>
      </c>
      <c r="S221" s="21" t="s">
        <v>2240</v>
      </c>
      <c r="T221" s="4"/>
    </row>
    <row r="222" ht="30.0" customHeight="1">
      <c r="A222" s="34" t="s">
        <v>2322</v>
      </c>
      <c r="B222" s="35" t="s">
        <v>2323</v>
      </c>
      <c r="C222" s="35" t="s">
        <v>2324</v>
      </c>
      <c r="D222" s="35" t="s">
        <v>2325</v>
      </c>
      <c r="E222" s="19" t="s">
        <v>240</v>
      </c>
      <c r="F222" s="18" t="s">
        <v>2326</v>
      </c>
      <c r="G222" s="19" t="s">
        <v>2327</v>
      </c>
      <c r="H222" s="19" t="s">
        <v>2328</v>
      </c>
      <c r="I222" s="19" t="s">
        <v>2329</v>
      </c>
      <c r="J222" s="19" t="s">
        <v>2330</v>
      </c>
      <c r="K222" s="19" t="s">
        <v>2331</v>
      </c>
      <c r="L222" s="19" t="s">
        <v>2332</v>
      </c>
      <c r="M222" s="19" t="s">
        <v>35</v>
      </c>
      <c r="N222" s="19" t="s">
        <v>36</v>
      </c>
      <c r="O222" s="19" t="s">
        <v>37</v>
      </c>
      <c r="P222" s="19" t="s">
        <v>38</v>
      </c>
      <c r="Q222" s="19" t="str">
        <f t="shared" si="1"/>
        <v>HSK1-VOCAB-218</v>
      </c>
      <c r="R222" s="19" t="str">
        <f t="shared" si="2"/>
        <v>Chinese::HSK::HSK1::Vocabulary</v>
      </c>
      <c r="S222" s="21" t="s">
        <v>2123</v>
      </c>
      <c r="T222" s="4"/>
    </row>
    <row r="223" ht="30.0" customHeight="1">
      <c r="A223" s="34" t="s">
        <v>2333</v>
      </c>
      <c r="B223" s="35" t="s">
        <v>2334</v>
      </c>
      <c r="C223" s="35" t="s">
        <v>2335</v>
      </c>
      <c r="D223" s="35" t="s">
        <v>2336</v>
      </c>
      <c r="E223" s="19" t="s">
        <v>513</v>
      </c>
      <c r="F223" s="18" t="s">
        <v>2337</v>
      </c>
      <c r="G223" s="19" t="s">
        <v>2338</v>
      </c>
      <c r="H223" s="19" t="s">
        <v>2339</v>
      </c>
      <c r="I223" s="19" t="s">
        <v>2340</v>
      </c>
      <c r="J223" s="19" t="s">
        <v>2341</v>
      </c>
      <c r="K223" s="19" t="s">
        <v>2342</v>
      </c>
      <c r="L223" s="19" t="s">
        <v>2343</v>
      </c>
      <c r="M223" s="19" t="s">
        <v>35</v>
      </c>
      <c r="N223" s="19" t="s">
        <v>36</v>
      </c>
      <c r="O223" s="19" t="s">
        <v>37</v>
      </c>
      <c r="P223" s="19" t="s">
        <v>38</v>
      </c>
      <c r="Q223" s="19" t="str">
        <f t="shared" si="1"/>
        <v>HSK1-VOCAB-219</v>
      </c>
      <c r="R223" s="19" t="str">
        <f t="shared" si="2"/>
        <v>Chinese::HSK::HSK1::Vocabulary</v>
      </c>
      <c r="S223" s="21" t="s">
        <v>2240</v>
      </c>
      <c r="T223" s="4"/>
    </row>
    <row r="224" ht="30.0" customHeight="1">
      <c r="A224" s="34" t="s">
        <v>2344</v>
      </c>
      <c r="B224" s="35" t="s">
        <v>2345</v>
      </c>
      <c r="C224" s="35" t="s">
        <v>2346</v>
      </c>
      <c r="D224" s="35" t="s">
        <v>2347</v>
      </c>
      <c r="E224" s="19" t="s">
        <v>27</v>
      </c>
      <c r="F224" s="18" t="s">
        <v>2348</v>
      </c>
      <c r="G224" s="19" t="s">
        <v>2349</v>
      </c>
      <c r="H224" s="19" t="s">
        <v>2350</v>
      </c>
      <c r="I224" s="19" t="s">
        <v>2351</v>
      </c>
      <c r="J224" s="19" t="s">
        <v>2352</v>
      </c>
      <c r="K224" s="19" t="s">
        <v>2353</v>
      </c>
      <c r="L224" s="19" t="s">
        <v>2354</v>
      </c>
      <c r="M224" s="19" t="s">
        <v>35</v>
      </c>
      <c r="N224" s="19" t="s">
        <v>36</v>
      </c>
      <c r="O224" s="19" t="s">
        <v>37</v>
      </c>
      <c r="P224" s="19" t="s">
        <v>38</v>
      </c>
      <c r="Q224" s="19" t="str">
        <f t="shared" si="1"/>
        <v>HSK1-VOCAB-220</v>
      </c>
      <c r="R224" s="19" t="str">
        <f t="shared" si="2"/>
        <v>Chinese::HSK::HSK1::Vocabulary</v>
      </c>
      <c r="S224" s="21" t="s">
        <v>2123</v>
      </c>
      <c r="T224" s="4"/>
    </row>
    <row r="225" ht="30.0" customHeight="1">
      <c r="A225" s="34" t="s">
        <v>2355</v>
      </c>
      <c r="B225" s="35" t="s">
        <v>2356</v>
      </c>
      <c r="C225" s="35" t="s">
        <v>2357</v>
      </c>
      <c r="D225" s="35" t="s">
        <v>2336</v>
      </c>
      <c r="E225" s="19" t="s">
        <v>513</v>
      </c>
      <c r="F225" s="18" t="s">
        <v>2358</v>
      </c>
      <c r="G225" s="19" t="s">
        <v>2359</v>
      </c>
      <c r="H225" s="19" t="s">
        <v>2360</v>
      </c>
      <c r="I225" s="19" t="s">
        <v>2361</v>
      </c>
      <c r="J225" s="19" t="s">
        <v>2362</v>
      </c>
      <c r="K225" s="19" t="s">
        <v>2363</v>
      </c>
      <c r="L225" s="19" t="s">
        <v>2364</v>
      </c>
      <c r="M225" s="19" t="s">
        <v>35</v>
      </c>
      <c r="N225" s="19" t="s">
        <v>36</v>
      </c>
      <c r="O225" s="19" t="s">
        <v>37</v>
      </c>
      <c r="P225" s="19" t="s">
        <v>38</v>
      </c>
      <c r="Q225" s="19" t="str">
        <f t="shared" si="1"/>
        <v>HSK1-VOCAB-221</v>
      </c>
      <c r="R225" s="19" t="str">
        <f t="shared" si="2"/>
        <v>Chinese::HSK::HSK1::Vocabulary</v>
      </c>
      <c r="S225" s="21" t="s">
        <v>2123</v>
      </c>
      <c r="T225" s="4"/>
    </row>
    <row r="226" ht="30.0" customHeight="1">
      <c r="A226" s="34" t="s">
        <v>2365</v>
      </c>
      <c r="B226" s="35" t="s">
        <v>2366</v>
      </c>
      <c r="C226" s="35" t="s">
        <v>2367</v>
      </c>
      <c r="D226" s="35" t="s">
        <v>2368</v>
      </c>
      <c r="E226" s="19" t="s">
        <v>727</v>
      </c>
      <c r="F226" s="18" t="s">
        <v>2369</v>
      </c>
      <c r="G226" s="19" t="s">
        <v>2370</v>
      </c>
      <c r="H226" s="19" t="s">
        <v>2371</v>
      </c>
      <c r="I226" s="19" t="s">
        <v>2372</v>
      </c>
      <c r="J226" s="19" t="s">
        <v>2373</v>
      </c>
      <c r="K226" s="19" t="s">
        <v>2374</v>
      </c>
      <c r="L226" s="19" t="s">
        <v>2375</v>
      </c>
      <c r="M226" s="19" t="s">
        <v>35</v>
      </c>
      <c r="N226" s="19" t="s">
        <v>36</v>
      </c>
      <c r="O226" s="19" t="s">
        <v>37</v>
      </c>
      <c r="P226" s="19" t="s">
        <v>38</v>
      </c>
      <c r="Q226" s="19" t="str">
        <f t="shared" si="1"/>
        <v>HSK1-VOCAB-222</v>
      </c>
      <c r="R226" s="19" t="str">
        <f t="shared" si="2"/>
        <v>Chinese::HSK::HSK1::Vocabulary</v>
      </c>
      <c r="S226" s="21" t="s">
        <v>2123</v>
      </c>
      <c r="T226" s="4"/>
    </row>
    <row r="227" ht="30.0" customHeight="1">
      <c r="A227" s="34" t="s">
        <v>2376</v>
      </c>
      <c r="B227" s="35" t="s">
        <v>2377</v>
      </c>
      <c r="C227" s="35" t="s">
        <v>2378</v>
      </c>
      <c r="D227" s="35" t="s">
        <v>2379</v>
      </c>
      <c r="E227" s="19" t="s">
        <v>727</v>
      </c>
      <c r="F227" s="18" t="s">
        <v>2380</v>
      </c>
      <c r="G227" s="19" t="s">
        <v>2381</v>
      </c>
      <c r="H227" s="19" t="s">
        <v>2382</v>
      </c>
      <c r="I227" s="19" t="s">
        <v>2383</v>
      </c>
      <c r="J227" s="19" t="s">
        <v>2384</v>
      </c>
      <c r="K227" s="19" t="s">
        <v>2121</v>
      </c>
      <c r="L227" s="19" t="s">
        <v>2385</v>
      </c>
      <c r="M227" s="19" t="s">
        <v>35</v>
      </c>
      <c r="N227" s="19" t="s">
        <v>36</v>
      </c>
      <c r="O227" s="19" t="s">
        <v>37</v>
      </c>
      <c r="P227" s="19" t="s">
        <v>38</v>
      </c>
      <c r="Q227" s="19" t="str">
        <f t="shared" si="1"/>
        <v>HSK1-VOCAB-223</v>
      </c>
      <c r="R227" s="19" t="str">
        <f t="shared" si="2"/>
        <v>Chinese::HSK::HSK1::Vocabulary</v>
      </c>
      <c r="S227" s="21" t="s">
        <v>2123</v>
      </c>
      <c r="T227" s="4"/>
    </row>
    <row r="228" ht="30.0" customHeight="1">
      <c r="A228" s="34" t="s">
        <v>2386</v>
      </c>
      <c r="B228" s="35" t="s">
        <v>2387</v>
      </c>
      <c r="C228" s="35" t="s">
        <v>2388</v>
      </c>
      <c r="D228" s="35" t="s">
        <v>2389</v>
      </c>
      <c r="E228" s="19" t="s">
        <v>513</v>
      </c>
      <c r="F228" s="18" t="s">
        <v>2390</v>
      </c>
      <c r="G228" s="19" t="s">
        <v>2391</v>
      </c>
      <c r="H228" s="19" t="s">
        <v>2392</v>
      </c>
      <c r="I228" s="19" t="s">
        <v>2393</v>
      </c>
      <c r="J228" s="19" t="s">
        <v>2394</v>
      </c>
      <c r="K228" s="19" t="s">
        <v>2395</v>
      </c>
      <c r="L228" s="19" t="s">
        <v>2396</v>
      </c>
      <c r="M228" s="19" t="s">
        <v>35</v>
      </c>
      <c r="N228" s="19" t="s">
        <v>36</v>
      </c>
      <c r="O228" s="19" t="s">
        <v>37</v>
      </c>
      <c r="P228" s="19" t="s">
        <v>38</v>
      </c>
      <c r="Q228" s="19" t="str">
        <f t="shared" si="1"/>
        <v>HSK1-VOCAB-224</v>
      </c>
      <c r="R228" s="19" t="str">
        <f t="shared" si="2"/>
        <v>Chinese::HSK::HSK1::Vocabulary</v>
      </c>
      <c r="S228" s="21" t="s">
        <v>2123</v>
      </c>
      <c r="T228" s="4"/>
    </row>
    <row r="229" ht="30.0" customHeight="1">
      <c r="A229" s="34" t="s">
        <v>2397</v>
      </c>
      <c r="B229" s="35" t="s">
        <v>2398</v>
      </c>
      <c r="C229" s="35" t="s">
        <v>2399</v>
      </c>
      <c r="D229" s="35" t="s">
        <v>2400</v>
      </c>
      <c r="E229" s="19" t="s">
        <v>513</v>
      </c>
      <c r="F229" s="18" t="s">
        <v>2401</v>
      </c>
      <c r="G229" s="19" t="s">
        <v>2402</v>
      </c>
      <c r="H229" s="19" t="s">
        <v>2403</v>
      </c>
      <c r="I229" s="19" t="s">
        <v>2404</v>
      </c>
      <c r="J229" s="19" t="s">
        <v>2405</v>
      </c>
      <c r="K229" s="19" t="s">
        <v>2406</v>
      </c>
      <c r="L229" s="19" t="s">
        <v>2407</v>
      </c>
      <c r="M229" s="19" t="s">
        <v>35</v>
      </c>
      <c r="N229" s="19" t="s">
        <v>36</v>
      </c>
      <c r="O229" s="19" t="s">
        <v>37</v>
      </c>
      <c r="P229" s="19" t="s">
        <v>38</v>
      </c>
      <c r="Q229" s="19" t="str">
        <f t="shared" si="1"/>
        <v>HSK1-VOCAB-225</v>
      </c>
      <c r="R229" s="19" t="str">
        <f t="shared" si="2"/>
        <v>Chinese::HSK::HSK1::Vocabulary</v>
      </c>
      <c r="S229" s="21" t="s">
        <v>2123</v>
      </c>
      <c r="T229" s="4"/>
    </row>
    <row r="230" ht="30.0" customHeight="1">
      <c r="A230" s="34" t="s">
        <v>2408</v>
      </c>
      <c r="B230" s="35" t="s">
        <v>2409</v>
      </c>
      <c r="C230" s="35" t="s">
        <v>2410</v>
      </c>
      <c r="D230" s="35" t="s">
        <v>2411</v>
      </c>
      <c r="E230" s="19" t="s">
        <v>513</v>
      </c>
      <c r="F230" s="18" t="s">
        <v>2412</v>
      </c>
      <c r="G230" s="19" t="s">
        <v>2413</v>
      </c>
      <c r="H230" s="19" t="s">
        <v>2414</v>
      </c>
      <c r="I230" s="19" t="s">
        <v>2415</v>
      </c>
      <c r="J230" s="19" t="s">
        <v>2416</v>
      </c>
      <c r="K230" s="19" t="s">
        <v>2417</v>
      </c>
      <c r="L230" s="19" t="s">
        <v>2418</v>
      </c>
      <c r="M230" s="19" t="s">
        <v>35</v>
      </c>
      <c r="N230" s="19" t="s">
        <v>36</v>
      </c>
      <c r="O230" s="19" t="s">
        <v>37</v>
      </c>
      <c r="P230" s="19" t="s">
        <v>38</v>
      </c>
      <c r="Q230" s="19" t="str">
        <f t="shared" si="1"/>
        <v>HSK1-VOCAB-226</v>
      </c>
      <c r="R230" s="19" t="str">
        <f t="shared" si="2"/>
        <v>Chinese::HSK::HSK1::Vocabulary</v>
      </c>
      <c r="S230" s="21" t="s">
        <v>2123</v>
      </c>
      <c r="T230" s="4"/>
    </row>
    <row r="231" ht="30.0" customHeight="1">
      <c r="A231" s="34" t="s">
        <v>2419</v>
      </c>
      <c r="B231" s="35" t="s">
        <v>2420</v>
      </c>
      <c r="C231" s="35" t="s">
        <v>2421</v>
      </c>
      <c r="D231" s="35" t="s">
        <v>2422</v>
      </c>
      <c r="E231" s="19" t="s">
        <v>513</v>
      </c>
      <c r="F231" s="18" t="s">
        <v>2423</v>
      </c>
      <c r="G231" s="19" t="s">
        <v>2424</v>
      </c>
      <c r="H231" s="19" t="s">
        <v>2425</v>
      </c>
      <c r="I231" s="19" t="s">
        <v>2426</v>
      </c>
      <c r="J231" s="19" t="s">
        <v>2427</v>
      </c>
      <c r="K231" s="19" t="s">
        <v>2428</v>
      </c>
      <c r="L231" s="19" t="s">
        <v>2418</v>
      </c>
      <c r="M231" s="19" t="s">
        <v>35</v>
      </c>
      <c r="N231" s="19" t="s">
        <v>36</v>
      </c>
      <c r="O231" s="19" t="s">
        <v>37</v>
      </c>
      <c r="P231" s="19" t="s">
        <v>38</v>
      </c>
      <c r="Q231" s="19" t="str">
        <f t="shared" si="1"/>
        <v>HSK1-VOCAB-227</v>
      </c>
      <c r="R231" s="19" t="str">
        <f t="shared" si="2"/>
        <v>Chinese::HSK::HSK1::Vocabulary</v>
      </c>
      <c r="S231" s="21" t="s">
        <v>2123</v>
      </c>
      <c r="T231" s="4"/>
    </row>
    <row r="232" ht="30.0" customHeight="1">
      <c r="A232" s="34" t="s">
        <v>2429</v>
      </c>
      <c r="B232" s="35" t="s">
        <v>2430</v>
      </c>
      <c r="C232" s="35" t="s">
        <v>887</v>
      </c>
      <c r="D232" s="35" t="s">
        <v>2431</v>
      </c>
      <c r="E232" s="19" t="s">
        <v>513</v>
      </c>
      <c r="F232" s="18" t="s">
        <v>2432</v>
      </c>
      <c r="G232" s="19" t="s">
        <v>2433</v>
      </c>
      <c r="H232" s="19" t="s">
        <v>2434</v>
      </c>
      <c r="I232" s="19" t="s">
        <v>2435</v>
      </c>
      <c r="J232" s="19" t="s">
        <v>2436</v>
      </c>
      <c r="K232" s="19" t="s">
        <v>2437</v>
      </c>
      <c r="L232" s="19" t="s">
        <v>2418</v>
      </c>
      <c r="M232" s="19" t="s">
        <v>35</v>
      </c>
      <c r="N232" s="19" t="s">
        <v>36</v>
      </c>
      <c r="O232" s="19" t="s">
        <v>37</v>
      </c>
      <c r="P232" s="19" t="s">
        <v>38</v>
      </c>
      <c r="Q232" s="19" t="str">
        <f t="shared" si="1"/>
        <v>HSK1-VOCAB-228</v>
      </c>
      <c r="R232" s="19" t="str">
        <f t="shared" si="2"/>
        <v>Chinese::HSK::HSK1::Vocabulary</v>
      </c>
      <c r="S232" s="21" t="s">
        <v>2123</v>
      </c>
      <c r="T232" s="4"/>
    </row>
    <row r="233" ht="30.0" customHeight="1">
      <c r="A233" s="34" t="s">
        <v>2438</v>
      </c>
      <c r="B233" s="35" t="s">
        <v>2302</v>
      </c>
      <c r="C233" s="35" t="s">
        <v>2439</v>
      </c>
      <c r="D233" s="35" t="s">
        <v>2440</v>
      </c>
      <c r="E233" s="19" t="s">
        <v>513</v>
      </c>
      <c r="F233" s="18" t="s">
        <v>2441</v>
      </c>
      <c r="G233" s="19" t="s">
        <v>2442</v>
      </c>
      <c r="H233" s="19" t="s">
        <v>2443</v>
      </c>
      <c r="I233" s="19" t="s">
        <v>2444</v>
      </c>
      <c r="J233" s="19" t="s">
        <v>2445</v>
      </c>
      <c r="K233" s="19" t="s">
        <v>2446</v>
      </c>
      <c r="L233" s="19" t="s">
        <v>995</v>
      </c>
      <c r="M233" s="19" t="s">
        <v>35</v>
      </c>
      <c r="N233" s="19" t="s">
        <v>36</v>
      </c>
      <c r="O233" s="19" t="s">
        <v>37</v>
      </c>
      <c r="P233" s="19" t="s">
        <v>38</v>
      </c>
      <c r="Q233" s="19" t="str">
        <f t="shared" si="1"/>
        <v>HSK1-VOCAB-229</v>
      </c>
      <c r="R233" s="19" t="str">
        <f t="shared" si="2"/>
        <v>Chinese::HSK::HSK1::Vocabulary</v>
      </c>
      <c r="S233" s="21" t="s">
        <v>2123</v>
      </c>
      <c r="T233" s="4"/>
    </row>
    <row r="234" ht="30.0" customHeight="1">
      <c r="A234" s="34" t="s">
        <v>2447</v>
      </c>
      <c r="B234" s="35" t="s">
        <v>2448</v>
      </c>
      <c r="C234" s="35" t="s">
        <v>2449</v>
      </c>
      <c r="D234" s="35" t="s">
        <v>2450</v>
      </c>
      <c r="E234" s="19" t="s">
        <v>513</v>
      </c>
      <c r="F234" s="18" t="s">
        <v>2451</v>
      </c>
      <c r="G234" s="19" t="s">
        <v>2452</v>
      </c>
      <c r="H234" s="19" t="s">
        <v>2453</v>
      </c>
      <c r="I234" s="19" t="s">
        <v>2454</v>
      </c>
      <c r="J234" s="19" t="s">
        <v>2455</v>
      </c>
      <c r="K234" s="19" t="s">
        <v>2456</v>
      </c>
      <c r="L234" s="19" t="s">
        <v>2457</v>
      </c>
      <c r="M234" s="19" t="s">
        <v>35</v>
      </c>
      <c r="N234" s="19" t="s">
        <v>36</v>
      </c>
      <c r="O234" s="19" t="s">
        <v>37</v>
      </c>
      <c r="P234" s="19" t="s">
        <v>38</v>
      </c>
      <c r="Q234" s="19" t="str">
        <f t="shared" si="1"/>
        <v>HSK1-VOCAB-230</v>
      </c>
      <c r="R234" s="19" t="str">
        <f t="shared" si="2"/>
        <v>Chinese::HSK::HSK1::Vocabulary</v>
      </c>
      <c r="S234" s="21" t="s">
        <v>2123</v>
      </c>
      <c r="T234" s="4"/>
    </row>
    <row r="235" ht="30.0" customHeight="1">
      <c r="A235" s="34" t="s">
        <v>2458</v>
      </c>
      <c r="B235" s="35" t="s">
        <v>2459</v>
      </c>
      <c r="C235" s="35" t="s">
        <v>2460</v>
      </c>
      <c r="D235" s="35" t="s">
        <v>2461</v>
      </c>
      <c r="E235" s="19" t="s">
        <v>513</v>
      </c>
      <c r="F235" s="18" t="s">
        <v>2462</v>
      </c>
      <c r="G235" s="19" t="s">
        <v>2463</v>
      </c>
      <c r="H235" s="19" t="s">
        <v>2464</v>
      </c>
      <c r="I235" s="19" t="s">
        <v>2465</v>
      </c>
      <c r="J235" s="19" t="s">
        <v>2466</v>
      </c>
      <c r="K235" s="19" t="s">
        <v>2467</v>
      </c>
      <c r="L235" s="19" t="s">
        <v>2457</v>
      </c>
      <c r="M235" s="19" t="s">
        <v>35</v>
      </c>
      <c r="N235" s="19" t="s">
        <v>36</v>
      </c>
      <c r="O235" s="19" t="s">
        <v>37</v>
      </c>
      <c r="P235" s="19" t="s">
        <v>38</v>
      </c>
      <c r="Q235" s="19" t="str">
        <f t="shared" si="1"/>
        <v>HSK1-VOCAB-231</v>
      </c>
      <c r="R235" s="19" t="str">
        <f t="shared" si="2"/>
        <v>Chinese::HSK::HSK1::Vocabulary</v>
      </c>
      <c r="S235" s="21" t="s">
        <v>2123</v>
      </c>
      <c r="T235" s="4"/>
    </row>
    <row r="236" ht="30.0" customHeight="1">
      <c r="A236" s="34" t="s">
        <v>2468</v>
      </c>
      <c r="B236" s="35" t="s">
        <v>2469</v>
      </c>
      <c r="C236" s="35" t="s">
        <v>2470</v>
      </c>
      <c r="D236" s="35" t="s">
        <v>2431</v>
      </c>
      <c r="E236" s="19" t="s">
        <v>727</v>
      </c>
      <c r="F236" s="22" t="s">
        <v>2471</v>
      </c>
      <c r="G236" s="23" t="s">
        <v>2472</v>
      </c>
      <c r="H236" s="23" t="s">
        <v>2473</v>
      </c>
      <c r="I236" s="23" t="s">
        <v>2474</v>
      </c>
      <c r="J236" s="23" t="s">
        <v>2475</v>
      </c>
      <c r="K236" s="23" t="s">
        <v>2476</v>
      </c>
      <c r="L236" s="23" t="s">
        <v>2477</v>
      </c>
      <c r="M236" s="23" t="s">
        <v>35</v>
      </c>
      <c r="N236" s="23" t="s">
        <v>36</v>
      </c>
      <c r="O236" s="23" t="s">
        <v>37</v>
      </c>
      <c r="P236" s="23" t="s">
        <v>38</v>
      </c>
      <c r="Q236" s="19" t="str">
        <f t="shared" si="1"/>
        <v>HSK1-VOCAB-232</v>
      </c>
      <c r="R236" s="19" t="str">
        <f t="shared" si="2"/>
        <v>Chinese::HSK::HSK1::Vocabulary</v>
      </c>
      <c r="S236" s="21" t="s">
        <v>2123</v>
      </c>
      <c r="T236" s="32"/>
    </row>
    <row r="237" ht="30.0" customHeight="1">
      <c r="A237" s="34" t="s">
        <v>2478</v>
      </c>
      <c r="B237" s="35" t="s">
        <v>2479</v>
      </c>
      <c r="C237" s="35" t="s">
        <v>2480</v>
      </c>
      <c r="D237" s="35" t="s">
        <v>2481</v>
      </c>
      <c r="E237" s="19" t="s">
        <v>27</v>
      </c>
      <c r="F237" s="18" t="s">
        <v>2482</v>
      </c>
      <c r="G237" s="19" t="s">
        <v>2483</v>
      </c>
      <c r="H237" s="19" t="s">
        <v>2484</v>
      </c>
      <c r="I237" s="19" t="s">
        <v>2485</v>
      </c>
      <c r="J237" s="19" t="s">
        <v>2486</v>
      </c>
      <c r="K237" s="19" t="s">
        <v>2487</v>
      </c>
      <c r="L237" s="19" t="s">
        <v>2488</v>
      </c>
      <c r="M237" s="19" t="s">
        <v>35</v>
      </c>
      <c r="N237" s="19" t="s">
        <v>36</v>
      </c>
      <c r="O237" s="19" t="s">
        <v>37</v>
      </c>
      <c r="P237" s="19" t="s">
        <v>38</v>
      </c>
      <c r="Q237" s="19" t="str">
        <f t="shared" si="1"/>
        <v>HSK1-VOCAB-233</v>
      </c>
      <c r="R237" s="19" t="str">
        <f t="shared" si="2"/>
        <v>Chinese::HSK::HSK1::Vocabulary</v>
      </c>
      <c r="S237" s="21" t="s">
        <v>2123</v>
      </c>
      <c r="T237" s="4"/>
    </row>
    <row r="238" ht="30.0" customHeight="1">
      <c r="A238" s="34" t="s">
        <v>2489</v>
      </c>
      <c r="B238" s="35" t="s">
        <v>2490</v>
      </c>
      <c r="C238" s="35" t="s">
        <v>2491</v>
      </c>
      <c r="D238" s="35" t="s">
        <v>2492</v>
      </c>
      <c r="E238" s="19" t="s">
        <v>27</v>
      </c>
      <c r="F238" s="18" t="s">
        <v>2493</v>
      </c>
      <c r="G238" s="19" t="s">
        <v>2494</v>
      </c>
      <c r="H238" s="19" t="s">
        <v>2495</v>
      </c>
      <c r="I238" s="19" t="s">
        <v>2496</v>
      </c>
      <c r="J238" s="19" t="s">
        <v>2497</v>
      </c>
      <c r="K238" s="19" t="s">
        <v>2498</v>
      </c>
      <c r="L238" s="19" t="s">
        <v>2499</v>
      </c>
      <c r="M238" s="19" t="s">
        <v>35</v>
      </c>
      <c r="N238" s="19" t="s">
        <v>36</v>
      </c>
      <c r="O238" s="19" t="s">
        <v>37</v>
      </c>
      <c r="P238" s="19" t="s">
        <v>38</v>
      </c>
      <c r="Q238" s="19" t="str">
        <f t="shared" si="1"/>
        <v>HSK1-VOCAB-234</v>
      </c>
      <c r="R238" s="19" t="str">
        <f t="shared" si="2"/>
        <v>Chinese::HSK::HSK1::Vocabulary</v>
      </c>
      <c r="S238" s="21" t="s">
        <v>2123</v>
      </c>
      <c r="T238" s="4"/>
    </row>
    <row r="239" ht="30.0" customHeight="1">
      <c r="A239" s="34" t="s">
        <v>2500</v>
      </c>
      <c r="B239" s="35" t="s">
        <v>2501</v>
      </c>
      <c r="C239" s="35" t="s">
        <v>2502</v>
      </c>
      <c r="D239" s="35" t="s">
        <v>2503</v>
      </c>
      <c r="E239" s="19" t="s">
        <v>240</v>
      </c>
      <c r="F239" s="18" t="s">
        <v>2504</v>
      </c>
      <c r="G239" s="19" t="s">
        <v>2505</v>
      </c>
      <c r="H239" s="19" t="s">
        <v>2506</v>
      </c>
      <c r="I239" s="19" t="s">
        <v>2507</v>
      </c>
      <c r="J239" s="19" t="s">
        <v>2508</v>
      </c>
      <c r="K239" s="19" t="s">
        <v>2509</v>
      </c>
      <c r="L239" s="19" t="s">
        <v>2510</v>
      </c>
      <c r="M239" s="19" t="s">
        <v>35</v>
      </c>
      <c r="N239" s="19" t="s">
        <v>36</v>
      </c>
      <c r="O239" s="19" t="s">
        <v>37</v>
      </c>
      <c r="P239" s="19" t="s">
        <v>38</v>
      </c>
      <c r="Q239" s="19" t="str">
        <f t="shared" si="1"/>
        <v>HSK1-VOCAB-235</v>
      </c>
      <c r="R239" s="19" t="str">
        <f t="shared" si="2"/>
        <v>Chinese::HSK::HSK1::Vocabulary</v>
      </c>
      <c r="S239" s="21" t="s">
        <v>2123</v>
      </c>
      <c r="T239" s="4"/>
    </row>
    <row r="240" ht="30.0" customHeight="1">
      <c r="A240" s="34" t="s">
        <v>2511</v>
      </c>
      <c r="B240" s="35" t="s">
        <v>2512</v>
      </c>
      <c r="C240" s="35" t="s">
        <v>2513</v>
      </c>
      <c r="D240" s="35" t="s">
        <v>2514</v>
      </c>
      <c r="E240" s="19" t="s">
        <v>240</v>
      </c>
      <c r="F240" s="18" t="s">
        <v>2515</v>
      </c>
      <c r="G240" s="19" t="s">
        <v>2516</v>
      </c>
      <c r="H240" s="19" t="s">
        <v>2517</v>
      </c>
      <c r="I240" s="19" t="s">
        <v>2518</v>
      </c>
      <c r="J240" s="19" t="s">
        <v>2519</v>
      </c>
      <c r="K240" s="19" t="s">
        <v>2520</v>
      </c>
      <c r="L240" s="19" t="s">
        <v>2521</v>
      </c>
      <c r="M240" s="19" t="s">
        <v>35</v>
      </c>
      <c r="N240" s="19" t="s">
        <v>36</v>
      </c>
      <c r="O240" s="19" t="s">
        <v>37</v>
      </c>
      <c r="P240" s="19" t="s">
        <v>38</v>
      </c>
      <c r="Q240" s="19" t="str">
        <f t="shared" si="1"/>
        <v>HSK1-VOCAB-236</v>
      </c>
      <c r="R240" s="19" t="str">
        <f t="shared" si="2"/>
        <v>Chinese::HSK::HSK1::Vocabulary</v>
      </c>
      <c r="S240" s="21" t="s">
        <v>2123</v>
      </c>
      <c r="T240" s="4"/>
    </row>
    <row r="241" ht="30.0" customHeight="1">
      <c r="A241" s="34" t="s">
        <v>2522</v>
      </c>
      <c r="B241" s="35" t="s">
        <v>2523</v>
      </c>
      <c r="C241" s="35" t="s">
        <v>2524</v>
      </c>
      <c r="D241" s="35" t="s">
        <v>2525</v>
      </c>
      <c r="E241" s="19" t="s">
        <v>27</v>
      </c>
      <c r="F241" s="18" t="s">
        <v>2526</v>
      </c>
      <c r="G241" s="19" t="s">
        <v>2527</v>
      </c>
      <c r="H241" s="19" t="s">
        <v>2528</v>
      </c>
      <c r="I241" s="19" t="s">
        <v>2529</v>
      </c>
      <c r="J241" s="19" t="s">
        <v>2530</v>
      </c>
      <c r="K241" s="19" t="s">
        <v>2531</v>
      </c>
      <c r="L241" s="19" t="s">
        <v>2532</v>
      </c>
      <c r="M241" s="19" t="s">
        <v>35</v>
      </c>
      <c r="N241" s="19" t="s">
        <v>36</v>
      </c>
      <c r="O241" s="19" t="s">
        <v>37</v>
      </c>
      <c r="P241" s="19" t="s">
        <v>38</v>
      </c>
      <c r="Q241" s="19" t="str">
        <f t="shared" si="1"/>
        <v>HSK1-VOCAB-237</v>
      </c>
      <c r="R241" s="19" t="str">
        <f t="shared" si="2"/>
        <v>Chinese::HSK::HSK1::Vocabulary</v>
      </c>
      <c r="S241" s="21" t="s">
        <v>2123</v>
      </c>
      <c r="T241" s="4"/>
    </row>
    <row r="242" ht="30.0" customHeight="1">
      <c r="A242" s="34" t="s">
        <v>2533</v>
      </c>
      <c r="B242" s="35" t="s">
        <v>2534</v>
      </c>
      <c r="C242" s="35" t="s">
        <v>2524</v>
      </c>
      <c r="D242" s="35" t="s">
        <v>2535</v>
      </c>
      <c r="E242" s="19" t="s">
        <v>27</v>
      </c>
      <c r="F242" s="18" t="s">
        <v>2536</v>
      </c>
      <c r="G242" s="19" t="s">
        <v>2537</v>
      </c>
      <c r="H242" s="19" t="s">
        <v>2538</v>
      </c>
      <c r="I242" s="19" t="s">
        <v>2539</v>
      </c>
      <c r="J242" s="19" t="s">
        <v>2540</v>
      </c>
      <c r="K242" s="19" t="s">
        <v>2541</v>
      </c>
      <c r="L242" s="19" t="s">
        <v>2542</v>
      </c>
      <c r="M242" s="19" t="s">
        <v>35</v>
      </c>
      <c r="N242" s="19" t="s">
        <v>36</v>
      </c>
      <c r="O242" s="19" t="s">
        <v>37</v>
      </c>
      <c r="P242" s="19" t="s">
        <v>38</v>
      </c>
      <c r="Q242" s="19" t="str">
        <f t="shared" si="1"/>
        <v>HSK1-VOCAB-238</v>
      </c>
      <c r="R242" s="19" t="str">
        <f t="shared" si="2"/>
        <v>Chinese::HSK::HSK1::Vocabulary</v>
      </c>
      <c r="S242" s="21" t="s">
        <v>2123</v>
      </c>
      <c r="T242" s="4"/>
    </row>
    <row r="243" ht="30.0" customHeight="1">
      <c r="A243" s="34" t="s">
        <v>2543</v>
      </c>
      <c r="B243" s="35" t="s">
        <v>2544</v>
      </c>
      <c r="C243" s="35" t="s">
        <v>2545</v>
      </c>
      <c r="D243" s="35" t="s">
        <v>2546</v>
      </c>
      <c r="E243" s="19" t="s">
        <v>727</v>
      </c>
      <c r="F243" s="18" t="s">
        <v>2547</v>
      </c>
      <c r="G243" s="19" t="s">
        <v>2548</v>
      </c>
      <c r="H243" s="19" t="s">
        <v>2549</v>
      </c>
      <c r="I243" s="19" t="s">
        <v>2550</v>
      </c>
      <c r="J243" s="19" t="s">
        <v>2551</v>
      </c>
      <c r="K243" s="19" t="s">
        <v>2552</v>
      </c>
      <c r="L243" s="19" t="s">
        <v>1257</v>
      </c>
      <c r="M243" s="19" t="s">
        <v>35</v>
      </c>
      <c r="N243" s="19" t="s">
        <v>36</v>
      </c>
      <c r="O243" s="19" t="s">
        <v>37</v>
      </c>
      <c r="P243" s="19" t="s">
        <v>38</v>
      </c>
      <c r="Q243" s="19" t="str">
        <f t="shared" si="1"/>
        <v>HSK1-VOCAB-239</v>
      </c>
      <c r="R243" s="19" t="str">
        <f t="shared" si="2"/>
        <v>Chinese::HSK::HSK1::Vocabulary</v>
      </c>
      <c r="S243" s="21" t="s">
        <v>2123</v>
      </c>
      <c r="T243" s="4"/>
    </row>
    <row r="244" ht="30.0" customHeight="1">
      <c r="A244" s="34" t="s">
        <v>2553</v>
      </c>
      <c r="B244" s="35" t="s">
        <v>2554</v>
      </c>
      <c r="C244" s="35" t="s">
        <v>2555</v>
      </c>
      <c r="D244" s="35" t="s">
        <v>2556</v>
      </c>
      <c r="E244" s="19" t="s">
        <v>513</v>
      </c>
      <c r="F244" s="18" t="s">
        <v>2557</v>
      </c>
      <c r="G244" s="19" t="s">
        <v>2558</v>
      </c>
      <c r="H244" s="19" t="s">
        <v>2559</v>
      </c>
      <c r="I244" s="19" t="s">
        <v>2560</v>
      </c>
      <c r="J244" s="19" t="s">
        <v>2561</v>
      </c>
      <c r="K244" s="19" t="s">
        <v>2562</v>
      </c>
      <c r="L244" s="19" t="s">
        <v>1430</v>
      </c>
      <c r="M244" s="19" t="s">
        <v>35</v>
      </c>
      <c r="N244" s="19" t="s">
        <v>36</v>
      </c>
      <c r="O244" s="19" t="s">
        <v>37</v>
      </c>
      <c r="P244" s="19" t="s">
        <v>38</v>
      </c>
      <c r="Q244" s="19" t="str">
        <f t="shared" si="1"/>
        <v>HSK1-VOCAB-240</v>
      </c>
      <c r="R244" s="19" t="str">
        <f t="shared" si="2"/>
        <v>Chinese::HSK::HSK1::Vocabulary</v>
      </c>
      <c r="S244" s="21" t="s">
        <v>2123</v>
      </c>
      <c r="T244" s="4"/>
    </row>
    <row r="245" ht="30.0" customHeight="1">
      <c r="A245" s="34" t="s">
        <v>2563</v>
      </c>
      <c r="B245" s="35" t="s">
        <v>2564</v>
      </c>
      <c r="C245" s="35" t="s">
        <v>2565</v>
      </c>
      <c r="D245" s="35" t="s">
        <v>2566</v>
      </c>
      <c r="E245" s="19" t="s">
        <v>27</v>
      </c>
      <c r="F245" s="18" t="s">
        <v>2567</v>
      </c>
      <c r="G245" s="19" t="s">
        <v>2568</v>
      </c>
      <c r="H245" s="19" t="s">
        <v>2569</v>
      </c>
      <c r="I245" s="19" t="s">
        <v>2570</v>
      </c>
      <c r="J245" s="19" t="s">
        <v>2571</v>
      </c>
      <c r="K245" s="19" t="s">
        <v>2572</v>
      </c>
      <c r="L245" s="19" t="s">
        <v>2573</v>
      </c>
      <c r="M245" s="19" t="s">
        <v>35</v>
      </c>
      <c r="N245" s="19" t="s">
        <v>36</v>
      </c>
      <c r="O245" s="19" t="s">
        <v>37</v>
      </c>
      <c r="P245" s="19" t="s">
        <v>38</v>
      </c>
      <c r="Q245" s="19" t="str">
        <f t="shared" si="1"/>
        <v>HSK1-VOCAB-241</v>
      </c>
      <c r="R245" s="19" t="str">
        <f t="shared" si="2"/>
        <v>Chinese::HSK::HSK1::Vocabulary</v>
      </c>
      <c r="S245" s="21" t="s">
        <v>2240</v>
      </c>
      <c r="T245" s="4"/>
    </row>
    <row r="246" ht="30.0" customHeight="1">
      <c r="A246" s="34" t="s">
        <v>2574</v>
      </c>
      <c r="B246" s="35" t="s">
        <v>2575</v>
      </c>
      <c r="C246" s="35" t="s">
        <v>2576</v>
      </c>
      <c r="D246" s="35" t="s">
        <v>2577</v>
      </c>
      <c r="E246" s="19" t="s">
        <v>240</v>
      </c>
      <c r="F246" s="18" t="s">
        <v>2578</v>
      </c>
      <c r="G246" s="19" t="s">
        <v>2579</v>
      </c>
      <c r="H246" s="19" t="s">
        <v>2580</v>
      </c>
      <c r="I246" s="19" t="s">
        <v>2581</v>
      </c>
      <c r="J246" s="19" t="s">
        <v>2582</v>
      </c>
      <c r="K246" s="19" t="s">
        <v>2583</v>
      </c>
      <c r="L246" s="19" t="s">
        <v>1071</v>
      </c>
      <c r="M246" s="19" t="s">
        <v>35</v>
      </c>
      <c r="N246" s="19" t="s">
        <v>36</v>
      </c>
      <c r="O246" s="19" t="s">
        <v>37</v>
      </c>
      <c r="P246" s="19" t="s">
        <v>38</v>
      </c>
      <c r="Q246" s="19" t="str">
        <f t="shared" si="1"/>
        <v>HSK1-VOCAB-242</v>
      </c>
      <c r="R246" s="19" t="str">
        <f t="shared" si="2"/>
        <v>Chinese::HSK::HSK1::Vocabulary</v>
      </c>
      <c r="S246" s="21" t="s">
        <v>2123</v>
      </c>
      <c r="T246" s="4"/>
    </row>
    <row r="247" ht="30.0" customHeight="1">
      <c r="A247" s="34" t="s">
        <v>2584</v>
      </c>
      <c r="B247" s="35" t="s">
        <v>2585</v>
      </c>
      <c r="C247" s="35" t="s">
        <v>2586</v>
      </c>
      <c r="D247" s="35" t="s">
        <v>2587</v>
      </c>
      <c r="E247" s="19" t="s">
        <v>27</v>
      </c>
      <c r="F247" s="18" t="s">
        <v>2588</v>
      </c>
      <c r="G247" s="19" t="s">
        <v>2589</v>
      </c>
      <c r="H247" s="19" t="s">
        <v>2590</v>
      </c>
      <c r="I247" s="19" t="s">
        <v>1985</v>
      </c>
      <c r="J247" s="19" t="s">
        <v>2591</v>
      </c>
      <c r="K247" s="19" t="s">
        <v>1987</v>
      </c>
      <c r="L247" s="19" t="s">
        <v>1071</v>
      </c>
      <c r="M247" s="19" t="s">
        <v>35</v>
      </c>
      <c r="N247" s="19" t="s">
        <v>36</v>
      </c>
      <c r="O247" s="19" t="s">
        <v>37</v>
      </c>
      <c r="P247" s="19" t="s">
        <v>38</v>
      </c>
      <c r="Q247" s="19" t="str">
        <f t="shared" si="1"/>
        <v>HSK1-VOCAB-243</v>
      </c>
      <c r="R247" s="19" t="str">
        <f t="shared" si="2"/>
        <v>Chinese::HSK::HSK1::Vocabulary</v>
      </c>
      <c r="S247" s="21" t="s">
        <v>2123</v>
      </c>
      <c r="T247" s="4"/>
    </row>
    <row r="248" ht="30.0" customHeight="1">
      <c r="A248" s="34" t="s">
        <v>2592</v>
      </c>
      <c r="B248" s="35" t="s">
        <v>2593</v>
      </c>
      <c r="C248" s="35" t="s">
        <v>2594</v>
      </c>
      <c r="D248" s="35" t="s">
        <v>2595</v>
      </c>
      <c r="E248" s="19" t="s">
        <v>318</v>
      </c>
      <c r="F248" s="18" t="s">
        <v>2596</v>
      </c>
      <c r="G248" s="19" t="s">
        <v>2597</v>
      </c>
      <c r="H248" s="19" t="s">
        <v>2598</v>
      </c>
      <c r="I248" s="19" t="s">
        <v>2599</v>
      </c>
      <c r="J248" s="19" t="s">
        <v>2600</v>
      </c>
      <c r="K248" s="19" t="s">
        <v>2601</v>
      </c>
      <c r="L248" s="19" t="s">
        <v>1071</v>
      </c>
      <c r="M248" s="19" t="s">
        <v>35</v>
      </c>
      <c r="N248" s="19" t="s">
        <v>36</v>
      </c>
      <c r="O248" s="19" t="s">
        <v>37</v>
      </c>
      <c r="P248" s="19" t="s">
        <v>38</v>
      </c>
      <c r="Q248" s="19" t="str">
        <f t="shared" si="1"/>
        <v>HSK1-VOCAB-244</v>
      </c>
      <c r="R248" s="19" t="str">
        <f t="shared" si="2"/>
        <v>Chinese::HSK::HSK1::Vocabulary</v>
      </c>
      <c r="S248" s="21" t="s">
        <v>2123</v>
      </c>
      <c r="T248" s="4"/>
    </row>
    <row r="249" ht="30.0" customHeight="1">
      <c r="A249" s="34" t="s">
        <v>2602</v>
      </c>
      <c r="B249" s="35" t="s">
        <v>2603</v>
      </c>
      <c r="C249" s="35" t="s">
        <v>2604</v>
      </c>
      <c r="D249" s="35" t="s">
        <v>1467</v>
      </c>
      <c r="E249" s="19" t="s">
        <v>727</v>
      </c>
      <c r="F249" s="18" t="s">
        <v>2605</v>
      </c>
      <c r="G249" s="19" t="s">
        <v>2606</v>
      </c>
      <c r="H249" s="19" t="s">
        <v>2607</v>
      </c>
      <c r="I249" s="19" t="s">
        <v>2608</v>
      </c>
      <c r="J249" s="19" t="s">
        <v>2609</v>
      </c>
      <c r="K249" s="19" t="s">
        <v>2610</v>
      </c>
      <c r="L249" s="19" t="s">
        <v>1071</v>
      </c>
      <c r="M249" s="19" t="s">
        <v>35</v>
      </c>
      <c r="N249" s="19" t="s">
        <v>36</v>
      </c>
      <c r="O249" s="19" t="s">
        <v>37</v>
      </c>
      <c r="P249" s="19" t="s">
        <v>38</v>
      </c>
      <c r="Q249" s="19" t="str">
        <f t="shared" si="1"/>
        <v>HSK1-VOCAB-245</v>
      </c>
      <c r="R249" s="19" t="str">
        <f t="shared" si="2"/>
        <v>Chinese::HSK::HSK1::Vocabulary</v>
      </c>
      <c r="S249" s="21" t="s">
        <v>2123</v>
      </c>
      <c r="T249" s="4"/>
    </row>
    <row r="250" ht="30.0" customHeight="1">
      <c r="A250" s="34" t="s">
        <v>2611</v>
      </c>
      <c r="B250" s="35" t="s">
        <v>2612</v>
      </c>
      <c r="C250" s="35" t="s">
        <v>2613</v>
      </c>
      <c r="D250" s="35" t="s">
        <v>2614</v>
      </c>
      <c r="E250" s="19" t="s">
        <v>318</v>
      </c>
      <c r="F250" s="18" t="s">
        <v>2615</v>
      </c>
      <c r="G250" s="19" t="s">
        <v>2616</v>
      </c>
      <c r="H250" s="19" t="s">
        <v>2617</v>
      </c>
      <c r="I250" s="19" t="s">
        <v>2618</v>
      </c>
      <c r="J250" s="19" t="s">
        <v>2619</v>
      </c>
      <c r="K250" s="19" t="s">
        <v>2620</v>
      </c>
      <c r="L250" s="19" t="s">
        <v>2621</v>
      </c>
      <c r="M250" s="19" t="s">
        <v>35</v>
      </c>
      <c r="N250" s="19" t="s">
        <v>36</v>
      </c>
      <c r="O250" s="19" t="s">
        <v>37</v>
      </c>
      <c r="P250" s="19" t="s">
        <v>38</v>
      </c>
      <c r="Q250" s="19" t="str">
        <f t="shared" si="1"/>
        <v>HSK1-VOCAB-246</v>
      </c>
      <c r="R250" s="19" t="str">
        <f t="shared" si="2"/>
        <v>Chinese::HSK::HSK1::Vocabulary</v>
      </c>
      <c r="S250" s="21" t="s">
        <v>2123</v>
      </c>
      <c r="T250" s="4"/>
    </row>
    <row r="251" ht="30.0" customHeight="1">
      <c r="A251" s="34" t="s">
        <v>2622</v>
      </c>
      <c r="B251" s="35" t="s">
        <v>2623</v>
      </c>
      <c r="C251" s="35" t="s">
        <v>2624</v>
      </c>
      <c r="D251" s="35" t="s">
        <v>2625</v>
      </c>
      <c r="E251" s="19" t="s">
        <v>27</v>
      </c>
      <c r="F251" s="18" t="s">
        <v>2626</v>
      </c>
      <c r="G251" s="19" t="s">
        <v>2627</v>
      </c>
      <c r="H251" s="19" t="s">
        <v>2628</v>
      </c>
      <c r="I251" s="19" t="s">
        <v>2629</v>
      </c>
      <c r="J251" s="19" t="s">
        <v>2630</v>
      </c>
      <c r="K251" s="19" t="s">
        <v>2631</v>
      </c>
      <c r="L251" s="19" t="s">
        <v>2632</v>
      </c>
      <c r="M251" s="19" t="s">
        <v>35</v>
      </c>
      <c r="N251" s="19" t="s">
        <v>36</v>
      </c>
      <c r="O251" s="19" t="s">
        <v>37</v>
      </c>
      <c r="P251" s="19" t="s">
        <v>38</v>
      </c>
      <c r="Q251" s="19" t="str">
        <f t="shared" si="1"/>
        <v>HSK1-VOCAB-247</v>
      </c>
      <c r="R251" s="19" t="str">
        <f t="shared" si="2"/>
        <v>Chinese::HSK::HSK1::Vocabulary</v>
      </c>
      <c r="S251" s="21" t="s">
        <v>2123</v>
      </c>
      <c r="T251" s="4"/>
    </row>
    <row r="252" ht="30.0" customHeight="1">
      <c r="A252" s="34" t="s">
        <v>2633</v>
      </c>
      <c r="B252" s="35" t="s">
        <v>2634</v>
      </c>
      <c r="C252" s="35" t="s">
        <v>2635</v>
      </c>
      <c r="D252" s="35" t="s">
        <v>2636</v>
      </c>
      <c r="E252" s="19" t="s">
        <v>27</v>
      </c>
      <c r="F252" s="18" t="s">
        <v>2637</v>
      </c>
      <c r="G252" s="19" t="s">
        <v>2638</v>
      </c>
      <c r="H252" s="19" t="s">
        <v>2639</v>
      </c>
      <c r="I252" s="19" t="s">
        <v>2640</v>
      </c>
      <c r="J252" s="19" t="s">
        <v>2641</v>
      </c>
      <c r="K252" s="19" t="s">
        <v>2642</v>
      </c>
      <c r="L252" s="19" t="s">
        <v>2643</v>
      </c>
      <c r="M252" s="19" t="s">
        <v>35</v>
      </c>
      <c r="N252" s="19" t="s">
        <v>36</v>
      </c>
      <c r="O252" s="19" t="s">
        <v>37</v>
      </c>
      <c r="P252" s="19" t="s">
        <v>38</v>
      </c>
      <c r="Q252" s="19" t="str">
        <f t="shared" si="1"/>
        <v>HSK1-VOCAB-248</v>
      </c>
      <c r="R252" s="19" t="str">
        <f t="shared" si="2"/>
        <v>Chinese::HSK::HSK1::Vocabulary</v>
      </c>
      <c r="S252" s="21" t="s">
        <v>2123</v>
      </c>
      <c r="T252" s="4"/>
    </row>
    <row r="253" ht="30.0" customHeight="1">
      <c r="A253" s="34" t="s">
        <v>2644</v>
      </c>
      <c r="B253" s="35" t="s">
        <v>2645</v>
      </c>
      <c r="C253" s="35" t="s">
        <v>2646</v>
      </c>
      <c r="D253" s="35" t="s">
        <v>2647</v>
      </c>
      <c r="E253" s="19" t="s">
        <v>27</v>
      </c>
      <c r="F253" s="18" t="s">
        <v>2648</v>
      </c>
      <c r="G253" s="19" t="s">
        <v>2649</v>
      </c>
      <c r="H253" s="19" t="s">
        <v>2650</v>
      </c>
      <c r="I253" s="19" t="s">
        <v>2651</v>
      </c>
      <c r="J253" s="19" t="s">
        <v>2652</v>
      </c>
      <c r="K253" s="19" t="s">
        <v>2653</v>
      </c>
      <c r="L253" s="19" t="s">
        <v>2654</v>
      </c>
      <c r="M253" s="19" t="s">
        <v>35</v>
      </c>
      <c r="N253" s="19" t="s">
        <v>36</v>
      </c>
      <c r="O253" s="19" t="s">
        <v>37</v>
      </c>
      <c r="P253" s="19" t="s">
        <v>38</v>
      </c>
      <c r="Q253" s="19" t="str">
        <f t="shared" si="1"/>
        <v>HSK1-VOCAB-249</v>
      </c>
      <c r="R253" s="19" t="str">
        <f t="shared" si="2"/>
        <v>Chinese::HSK::HSK1::Vocabulary</v>
      </c>
      <c r="S253" s="21" t="s">
        <v>2123</v>
      </c>
      <c r="T253" s="4"/>
    </row>
    <row r="254" ht="30.0" customHeight="1">
      <c r="A254" s="34" t="s">
        <v>2655</v>
      </c>
      <c r="B254" s="35" t="s">
        <v>2656</v>
      </c>
      <c r="C254" s="35" t="s">
        <v>2657</v>
      </c>
      <c r="D254" s="35" t="s">
        <v>2658</v>
      </c>
      <c r="E254" s="19" t="s">
        <v>27</v>
      </c>
      <c r="F254" s="18" t="s">
        <v>2659</v>
      </c>
      <c r="G254" s="19" t="s">
        <v>2660</v>
      </c>
      <c r="H254" s="19" t="s">
        <v>2661</v>
      </c>
      <c r="I254" s="19" t="s">
        <v>2662</v>
      </c>
      <c r="J254" s="19" t="s">
        <v>2663</v>
      </c>
      <c r="K254" s="19" t="s">
        <v>2664</v>
      </c>
      <c r="L254" s="19" t="s">
        <v>2665</v>
      </c>
      <c r="M254" s="19" t="s">
        <v>35</v>
      </c>
      <c r="N254" s="19" t="s">
        <v>36</v>
      </c>
      <c r="O254" s="19" t="s">
        <v>37</v>
      </c>
      <c r="P254" s="19" t="s">
        <v>38</v>
      </c>
      <c r="Q254" s="19" t="str">
        <f t="shared" si="1"/>
        <v>HSK1-VOCAB-250</v>
      </c>
      <c r="R254" s="19" t="str">
        <f t="shared" si="2"/>
        <v>Chinese::HSK::HSK1::Vocabulary</v>
      </c>
      <c r="S254" s="21" t="s">
        <v>2123</v>
      </c>
      <c r="T254" s="4"/>
    </row>
    <row r="255" ht="30.0" customHeight="1">
      <c r="A255" s="34" t="s">
        <v>2666</v>
      </c>
      <c r="B255" s="35" t="s">
        <v>2667</v>
      </c>
      <c r="C255" s="35" t="s">
        <v>2668</v>
      </c>
      <c r="D255" s="35" t="s">
        <v>2669</v>
      </c>
      <c r="E255" s="19" t="s">
        <v>27</v>
      </c>
      <c r="F255" s="18" t="s">
        <v>2670</v>
      </c>
      <c r="G255" s="19" t="s">
        <v>2671</v>
      </c>
      <c r="H255" s="19" t="s">
        <v>2672</v>
      </c>
      <c r="I255" s="19" t="s">
        <v>2673</v>
      </c>
      <c r="J255" s="19" t="s">
        <v>2674</v>
      </c>
      <c r="K255" s="19" t="s">
        <v>2675</v>
      </c>
      <c r="L255" s="19" t="s">
        <v>2676</v>
      </c>
      <c r="M255" s="19" t="s">
        <v>35</v>
      </c>
      <c r="N255" s="19" t="s">
        <v>36</v>
      </c>
      <c r="O255" s="19" t="s">
        <v>37</v>
      </c>
      <c r="P255" s="19" t="s">
        <v>38</v>
      </c>
      <c r="Q255" s="19" t="str">
        <f t="shared" si="1"/>
        <v>HSK1-VOCAB-251</v>
      </c>
      <c r="R255" s="19" t="str">
        <f t="shared" si="2"/>
        <v>Chinese::HSK::HSK1::Vocabulary</v>
      </c>
      <c r="S255" s="21" t="s">
        <v>2123</v>
      </c>
      <c r="T255" s="4"/>
    </row>
    <row r="256" ht="30.0" customHeight="1">
      <c r="A256" s="34" t="s">
        <v>2677</v>
      </c>
      <c r="B256" s="35" t="s">
        <v>2678</v>
      </c>
      <c r="C256" s="35" t="s">
        <v>2002</v>
      </c>
      <c r="D256" s="35" t="s">
        <v>2679</v>
      </c>
      <c r="E256" s="19" t="s">
        <v>27</v>
      </c>
      <c r="F256" s="18" t="s">
        <v>2680</v>
      </c>
      <c r="G256" s="19" t="s">
        <v>2681</v>
      </c>
      <c r="H256" s="19" t="s">
        <v>2682</v>
      </c>
      <c r="I256" s="19" t="s">
        <v>2683</v>
      </c>
      <c r="J256" s="19" t="s">
        <v>2684</v>
      </c>
      <c r="K256" s="19" t="s">
        <v>2685</v>
      </c>
      <c r="L256" s="19" t="s">
        <v>2686</v>
      </c>
      <c r="M256" s="19" t="s">
        <v>35</v>
      </c>
      <c r="N256" s="19" t="s">
        <v>36</v>
      </c>
      <c r="O256" s="19" t="s">
        <v>37</v>
      </c>
      <c r="P256" s="19" t="s">
        <v>38</v>
      </c>
      <c r="Q256" s="19" t="str">
        <f t="shared" si="1"/>
        <v>HSK1-VOCAB-252</v>
      </c>
      <c r="R256" s="19" t="str">
        <f t="shared" si="2"/>
        <v>Chinese::HSK::HSK1::Vocabulary</v>
      </c>
      <c r="S256" s="21" t="s">
        <v>2123</v>
      </c>
      <c r="T256" s="4"/>
    </row>
    <row r="257" ht="30.0" customHeight="1">
      <c r="A257" s="34" t="s">
        <v>2687</v>
      </c>
      <c r="B257" s="35" t="s">
        <v>2688</v>
      </c>
      <c r="C257" s="35" t="s">
        <v>2689</v>
      </c>
      <c r="D257" s="35" t="s">
        <v>2690</v>
      </c>
      <c r="E257" s="19" t="s">
        <v>240</v>
      </c>
      <c r="F257" s="18" t="s">
        <v>2691</v>
      </c>
      <c r="G257" s="19" t="s">
        <v>2692</v>
      </c>
      <c r="H257" s="19" t="s">
        <v>2693</v>
      </c>
      <c r="I257" s="19" t="s">
        <v>2694</v>
      </c>
      <c r="J257" s="19" t="s">
        <v>2695</v>
      </c>
      <c r="K257" s="19" t="s">
        <v>2696</v>
      </c>
      <c r="L257" s="19" t="s">
        <v>2697</v>
      </c>
      <c r="M257" s="19" t="s">
        <v>35</v>
      </c>
      <c r="N257" s="19" t="s">
        <v>36</v>
      </c>
      <c r="O257" s="19" t="s">
        <v>37</v>
      </c>
      <c r="P257" s="19" t="s">
        <v>38</v>
      </c>
      <c r="Q257" s="19" t="str">
        <f t="shared" si="1"/>
        <v>HSK1-VOCAB-253</v>
      </c>
      <c r="R257" s="19" t="str">
        <f t="shared" si="2"/>
        <v>Chinese::HSK::HSK1::Vocabulary</v>
      </c>
      <c r="S257" s="21" t="s">
        <v>2123</v>
      </c>
      <c r="T257" s="4"/>
    </row>
    <row r="258" ht="30.0" customHeight="1">
      <c r="A258" s="34" t="s">
        <v>2698</v>
      </c>
      <c r="B258" s="35" t="s">
        <v>2699</v>
      </c>
      <c r="C258" s="35" t="s">
        <v>2700</v>
      </c>
      <c r="D258" s="35" t="s">
        <v>2701</v>
      </c>
      <c r="E258" s="19" t="s">
        <v>27</v>
      </c>
      <c r="F258" s="18" t="s">
        <v>2702</v>
      </c>
      <c r="G258" s="19" t="s">
        <v>2703</v>
      </c>
      <c r="H258" s="19" t="s">
        <v>2704</v>
      </c>
      <c r="I258" s="19" t="s">
        <v>2705</v>
      </c>
      <c r="J258" s="19" t="s">
        <v>2706</v>
      </c>
      <c r="K258" s="19" t="s">
        <v>2707</v>
      </c>
      <c r="L258" s="19" t="s">
        <v>2708</v>
      </c>
      <c r="M258" s="19" t="s">
        <v>35</v>
      </c>
      <c r="N258" s="19" t="s">
        <v>36</v>
      </c>
      <c r="O258" s="19" t="s">
        <v>37</v>
      </c>
      <c r="P258" s="19" t="s">
        <v>38</v>
      </c>
      <c r="Q258" s="19" t="str">
        <f t="shared" si="1"/>
        <v>HSK1-VOCAB-254</v>
      </c>
      <c r="R258" s="19" t="str">
        <f t="shared" si="2"/>
        <v>Chinese::HSK::HSK1::Vocabulary</v>
      </c>
      <c r="S258" s="21" t="s">
        <v>2123</v>
      </c>
      <c r="T258" s="4"/>
    </row>
    <row r="259" ht="30.0" customHeight="1">
      <c r="A259" s="34" t="s">
        <v>2709</v>
      </c>
      <c r="B259" s="35" t="s">
        <v>2710</v>
      </c>
      <c r="C259" s="35" t="s">
        <v>2711</v>
      </c>
      <c r="D259" s="35" t="s">
        <v>2712</v>
      </c>
      <c r="E259" s="19" t="s">
        <v>27</v>
      </c>
      <c r="F259" s="18" t="s">
        <v>2713</v>
      </c>
      <c r="G259" s="19" t="s">
        <v>2714</v>
      </c>
      <c r="H259" s="19" t="s">
        <v>2715</v>
      </c>
      <c r="I259" s="19" t="s">
        <v>2716</v>
      </c>
      <c r="J259" s="19" t="s">
        <v>2717</v>
      </c>
      <c r="K259" s="19" t="s">
        <v>2718</v>
      </c>
      <c r="L259" s="19" t="s">
        <v>2719</v>
      </c>
      <c r="M259" s="19" t="s">
        <v>35</v>
      </c>
      <c r="N259" s="19" t="s">
        <v>36</v>
      </c>
      <c r="O259" s="19" t="s">
        <v>37</v>
      </c>
      <c r="P259" s="19" t="s">
        <v>38</v>
      </c>
      <c r="Q259" s="19" t="str">
        <f t="shared" si="1"/>
        <v>HSK1-VOCAB-255</v>
      </c>
      <c r="R259" s="19" t="str">
        <f t="shared" si="2"/>
        <v>Chinese::HSK::HSK1::Vocabulary</v>
      </c>
      <c r="S259" s="21" t="s">
        <v>2123</v>
      </c>
      <c r="T259" s="4"/>
    </row>
    <row r="260" ht="30.0" customHeight="1">
      <c r="A260" s="34" t="s">
        <v>2720</v>
      </c>
      <c r="B260" s="35" t="s">
        <v>2721</v>
      </c>
      <c r="C260" s="35" t="s">
        <v>2002</v>
      </c>
      <c r="D260" s="35" t="s">
        <v>2003</v>
      </c>
      <c r="E260" s="19" t="s">
        <v>27</v>
      </c>
      <c r="F260" s="18" t="s">
        <v>2722</v>
      </c>
      <c r="G260" s="19" t="s">
        <v>2723</v>
      </c>
      <c r="H260" s="19" t="s">
        <v>2724</v>
      </c>
      <c r="I260" s="19" t="s">
        <v>2725</v>
      </c>
      <c r="J260" s="19" t="s">
        <v>2726</v>
      </c>
      <c r="K260" s="19" t="s">
        <v>2727</v>
      </c>
      <c r="L260" s="19" t="s">
        <v>2728</v>
      </c>
      <c r="M260" s="19" t="s">
        <v>35</v>
      </c>
      <c r="N260" s="19" t="s">
        <v>36</v>
      </c>
      <c r="O260" s="19" t="s">
        <v>37</v>
      </c>
      <c r="P260" s="19" t="s">
        <v>38</v>
      </c>
      <c r="Q260" s="19" t="str">
        <f t="shared" si="1"/>
        <v>HSK1-VOCAB-256</v>
      </c>
      <c r="R260" s="19" t="str">
        <f t="shared" si="2"/>
        <v>Chinese::HSK::HSK1::Vocabulary</v>
      </c>
      <c r="S260" s="21" t="s">
        <v>2123</v>
      </c>
      <c r="T260" s="4"/>
    </row>
    <row r="261" ht="30.0" customHeight="1">
      <c r="A261" s="34" t="s">
        <v>2729</v>
      </c>
      <c r="B261" s="35" t="s">
        <v>2730</v>
      </c>
      <c r="C261" s="35" t="s">
        <v>448</v>
      </c>
      <c r="D261" s="35" t="s">
        <v>2731</v>
      </c>
      <c r="E261" s="19" t="s">
        <v>318</v>
      </c>
      <c r="F261" s="18" t="s">
        <v>2732</v>
      </c>
      <c r="G261" s="19" t="s">
        <v>2733</v>
      </c>
      <c r="H261" s="19" t="s">
        <v>2734</v>
      </c>
      <c r="I261" s="19" t="s">
        <v>2735</v>
      </c>
      <c r="J261" s="19" t="s">
        <v>2736</v>
      </c>
      <c r="K261" s="19" t="s">
        <v>2737</v>
      </c>
      <c r="L261" s="19" t="s">
        <v>2738</v>
      </c>
      <c r="M261" s="19" t="s">
        <v>35</v>
      </c>
      <c r="N261" s="19" t="s">
        <v>36</v>
      </c>
      <c r="O261" s="19" t="s">
        <v>37</v>
      </c>
      <c r="P261" s="19" t="s">
        <v>38</v>
      </c>
      <c r="Q261" s="19" t="str">
        <f t="shared" si="1"/>
        <v>HSK1-VOCAB-257</v>
      </c>
      <c r="R261" s="19" t="str">
        <f t="shared" si="2"/>
        <v>Chinese::HSK::HSK1::Vocabulary</v>
      </c>
      <c r="S261" s="21" t="s">
        <v>2123</v>
      </c>
      <c r="T261" s="4"/>
    </row>
    <row r="262" ht="30.0" customHeight="1">
      <c r="A262" s="34" t="s">
        <v>2739</v>
      </c>
      <c r="B262" s="35" t="s">
        <v>2740</v>
      </c>
      <c r="C262" s="35" t="s">
        <v>2741</v>
      </c>
      <c r="D262" s="35" t="s">
        <v>2742</v>
      </c>
      <c r="E262" s="19" t="s">
        <v>27</v>
      </c>
      <c r="F262" s="18" t="s">
        <v>2743</v>
      </c>
      <c r="G262" s="19" t="s">
        <v>2744</v>
      </c>
      <c r="H262" s="19" t="s">
        <v>2745</v>
      </c>
      <c r="I262" s="19" t="s">
        <v>2746</v>
      </c>
      <c r="J262" s="19" t="s">
        <v>2747</v>
      </c>
      <c r="K262" s="19" t="s">
        <v>2748</v>
      </c>
      <c r="L262" s="19" t="s">
        <v>2749</v>
      </c>
      <c r="M262" s="19" t="s">
        <v>35</v>
      </c>
      <c r="N262" s="19" t="s">
        <v>36</v>
      </c>
      <c r="O262" s="19" t="s">
        <v>37</v>
      </c>
      <c r="P262" s="19" t="s">
        <v>38</v>
      </c>
      <c r="Q262" s="19" t="str">
        <f t="shared" si="1"/>
        <v>HSK1-VOCAB-258</v>
      </c>
      <c r="R262" s="19" t="str">
        <f t="shared" si="2"/>
        <v>Chinese::HSK::HSK1::Vocabulary</v>
      </c>
      <c r="S262" s="21" t="s">
        <v>2123</v>
      </c>
      <c r="T262" s="4"/>
    </row>
    <row r="263" ht="30.0" customHeight="1">
      <c r="A263" s="34" t="s">
        <v>2750</v>
      </c>
      <c r="B263" s="35" t="s">
        <v>2751</v>
      </c>
      <c r="C263" s="35" t="s">
        <v>2752</v>
      </c>
      <c r="D263" s="35" t="s">
        <v>2753</v>
      </c>
      <c r="E263" s="19" t="s">
        <v>27</v>
      </c>
      <c r="F263" s="18" t="s">
        <v>2754</v>
      </c>
      <c r="G263" s="19" t="s">
        <v>2755</v>
      </c>
      <c r="H263" s="19" t="s">
        <v>2756</v>
      </c>
      <c r="I263" s="19" t="s">
        <v>2757</v>
      </c>
      <c r="J263" s="19" t="s">
        <v>2758</v>
      </c>
      <c r="K263" s="19" t="s">
        <v>2759</v>
      </c>
      <c r="L263" s="19" t="s">
        <v>2760</v>
      </c>
      <c r="M263" s="19" t="s">
        <v>35</v>
      </c>
      <c r="N263" s="19" t="s">
        <v>36</v>
      </c>
      <c r="O263" s="19" t="s">
        <v>37</v>
      </c>
      <c r="P263" s="19" t="s">
        <v>38</v>
      </c>
      <c r="Q263" s="19" t="str">
        <f t="shared" si="1"/>
        <v>HSK1-VOCAB-259</v>
      </c>
      <c r="R263" s="19" t="str">
        <f t="shared" si="2"/>
        <v>Chinese::HSK::HSK1::Vocabulary</v>
      </c>
      <c r="S263" s="21" t="s">
        <v>2123</v>
      </c>
      <c r="T263" s="4"/>
    </row>
    <row r="264" ht="30.0" customHeight="1">
      <c r="A264" s="34" t="s">
        <v>2761</v>
      </c>
      <c r="B264" s="35" t="s">
        <v>2762</v>
      </c>
      <c r="C264" s="35" t="s">
        <v>2763</v>
      </c>
      <c r="D264" s="35" t="s">
        <v>2764</v>
      </c>
      <c r="E264" s="19" t="s">
        <v>727</v>
      </c>
      <c r="F264" s="18" t="s">
        <v>2765</v>
      </c>
      <c r="G264" s="19" t="s">
        <v>2766</v>
      </c>
      <c r="H264" s="19" t="s">
        <v>2767</v>
      </c>
      <c r="I264" s="19" t="s">
        <v>2768</v>
      </c>
      <c r="J264" s="19" t="s">
        <v>2769</v>
      </c>
      <c r="K264" s="19" t="s">
        <v>2770</v>
      </c>
      <c r="L264" s="19" t="s">
        <v>2771</v>
      </c>
      <c r="M264" s="19" t="s">
        <v>35</v>
      </c>
      <c r="N264" s="19" t="s">
        <v>36</v>
      </c>
      <c r="O264" s="19" t="s">
        <v>37</v>
      </c>
      <c r="P264" s="19" t="s">
        <v>38</v>
      </c>
      <c r="Q264" s="19" t="str">
        <f t="shared" si="1"/>
        <v>HSK1-VOCAB-260</v>
      </c>
      <c r="R264" s="19" t="str">
        <f t="shared" si="2"/>
        <v>Chinese::HSK::HSK1::Vocabulary</v>
      </c>
      <c r="S264" s="21" t="s">
        <v>2123</v>
      </c>
      <c r="T264" s="4"/>
    </row>
    <row r="265" ht="30.0" customHeight="1">
      <c r="A265" s="34" t="s">
        <v>2772</v>
      </c>
      <c r="B265" s="35" t="s">
        <v>2773</v>
      </c>
      <c r="C265" s="35" t="s">
        <v>2774</v>
      </c>
      <c r="D265" s="35" t="s">
        <v>2775</v>
      </c>
      <c r="E265" s="19" t="s">
        <v>27</v>
      </c>
      <c r="F265" s="18" t="s">
        <v>2776</v>
      </c>
      <c r="G265" s="19" t="s">
        <v>2777</v>
      </c>
      <c r="H265" s="19" t="s">
        <v>2778</v>
      </c>
      <c r="I265" s="19" t="s">
        <v>2779</v>
      </c>
      <c r="J265" s="19" t="s">
        <v>2780</v>
      </c>
      <c r="K265" s="19" t="s">
        <v>2781</v>
      </c>
      <c r="L265" s="19" t="s">
        <v>2782</v>
      </c>
      <c r="M265" s="19" t="s">
        <v>35</v>
      </c>
      <c r="N265" s="19" t="s">
        <v>36</v>
      </c>
      <c r="O265" s="19" t="s">
        <v>37</v>
      </c>
      <c r="P265" s="19" t="s">
        <v>38</v>
      </c>
      <c r="Q265" s="19" t="str">
        <f t="shared" si="1"/>
        <v>HSK1-VOCAB-261</v>
      </c>
      <c r="R265" s="19" t="str">
        <f t="shared" si="2"/>
        <v>Chinese::HSK::HSK1::Vocabulary</v>
      </c>
      <c r="S265" s="21" t="s">
        <v>2123</v>
      </c>
      <c r="T265" s="4"/>
    </row>
    <row r="266" ht="30.0" customHeight="1">
      <c r="A266" s="34" t="s">
        <v>2783</v>
      </c>
      <c r="B266" s="35" t="s">
        <v>2784</v>
      </c>
      <c r="C266" s="35" t="s">
        <v>2785</v>
      </c>
      <c r="D266" s="35" t="s">
        <v>2786</v>
      </c>
      <c r="E266" s="19" t="s">
        <v>240</v>
      </c>
      <c r="F266" s="18" t="s">
        <v>2787</v>
      </c>
      <c r="G266" s="19" t="s">
        <v>2788</v>
      </c>
      <c r="H266" s="19" t="s">
        <v>2789</v>
      </c>
      <c r="I266" s="19" t="s">
        <v>2790</v>
      </c>
      <c r="J266" s="19" t="s">
        <v>2791</v>
      </c>
      <c r="K266" s="19" t="s">
        <v>2792</v>
      </c>
      <c r="L266" s="19" t="s">
        <v>2793</v>
      </c>
      <c r="M266" s="19" t="s">
        <v>35</v>
      </c>
      <c r="N266" s="19" t="s">
        <v>36</v>
      </c>
      <c r="O266" s="19" t="s">
        <v>37</v>
      </c>
      <c r="P266" s="19" t="s">
        <v>38</v>
      </c>
      <c r="Q266" s="19" t="str">
        <f t="shared" si="1"/>
        <v>HSK1-VOCAB-262</v>
      </c>
      <c r="R266" s="19" t="str">
        <f t="shared" si="2"/>
        <v>Chinese::HSK::HSK1::Vocabulary</v>
      </c>
      <c r="S266" s="21" t="s">
        <v>2123</v>
      </c>
      <c r="T266" s="4"/>
    </row>
    <row r="267" ht="30.0" customHeight="1">
      <c r="A267" s="34" t="s">
        <v>2794</v>
      </c>
      <c r="B267" s="35" t="s">
        <v>2795</v>
      </c>
      <c r="C267" s="35" t="s">
        <v>2796</v>
      </c>
      <c r="D267" s="35" t="s">
        <v>2797</v>
      </c>
      <c r="E267" s="19" t="s">
        <v>27</v>
      </c>
      <c r="F267" s="18" t="s">
        <v>2798</v>
      </c>
      <c r="G267" s="19" t="s">
        <v>2799</v>
      </c>
      <c r="H267" s="19" t="s">
        <v>2800</v>
      </c>
      <c r="I267" s="19" t="s">
        <v>2801</v>
      </c>
      <c r="J267" s="19" t="s">
        <v>2802</v>
      </c>
      <c r="K267" s="19" t="s">
        <v>2803</v>
      </c>
      <c r="L267" s="19" t="s">
        <v>2804</v>
      </c>
      <c r="M267" s="19" t="s">
        <v>35</v>
      </c>
      <c r="N267" s="19" t="s">
        <v>36</v>
      </c>
      <c r="O267" s="19" t="s">
        <v>37</v>
      </c>
      <c r="P267" s="19" t="s">
        <v>38</v>
      </c>
      <c r="Q267" s="19" t="str">
        <f t="shared" si="1"/>
        <v>HSK1-VOCAB-263</v>
      </c>
      <c r="R267" s="19" t="str">
        <f t="shared" si="2"/>
        <v>Chinese::HSK::HSK1::Vocabulary</v>
      </c>
      <c r="S267" s="21" t="s">
        <v>2123</v>
      </c>
      <c r="T267" s="4"/>
    </row>
    <row r="268" ht="30.0" customHeight="1">
      <c r="A268" s="34" t="s">
        <v>2805</v>
      </c>
      <c r="B268" s="35" t="s">
        <v>2806</v>
      </c>
      <c r="C268" s="35" t="s">
        <v>2807</v>
      </c>
      <c r="D268" s="35" t="s">
        <v>2808</v>
      </c>
      <c r="E268" s="19" t="s">
        <v>27</v>
      </c>
      <c r="F268" s="18" t="s">
        <v>2809</v>
      </c>
      <c r="G268" s="19" t="s">
        <v>2810</v>
      </c>
      <c r="H268" s="19" t="s">
        <v>2811</v>
      </c>
      <c r="I268" s="19" t="s">
        <v>2812</v>
      </c>
      <c r="J268" s="19" t="s">
        <v>2813</v>
      </c>
      <c r="K268" s="19" t="s">
        <v>2814</v>
      </c>
      <c r="L268" s="19" t="s">
        <v>2815</v>
      </c>
      <c r="M268" s="19" t="s">
        <v>35</v>
      </c>
      <c r="N268" s="19" t="s">
        <v>36</v>
      </c>
      <c r="O268" s="19" t="s">
        <v>37</v>
      </c>
      <c r="P268" s="19" t="s">
        <v>38</v>
      </c>
      <c r="Q268" s="19" t="str">
        <f t="shared" si="1"/>
        <v>HSK1-VOCAB-264</v>
      </c>
      <c r="R268" s="19" t="str">
        <f t="shared" si="2"/>
        <v>Chinese::HSK::HSK1::Vocabulary</v>
      </c>
      <c r="S268" s="21" t="s">
        <v>2123</v>
      </c>
      <c r="T268" s="4"/>
    </row>
    <row r="269" ht="30.0" customHeight="1">
      <c r="A269" s="34" t="s">
        <v>2816</v>
      </c>
      <c r="B269" s="35" t="s">
        <v>2817</v>
      </c>
      <c r="C269" s="35" t="s">
        <v>2818</v>
      </c>
      <c r="D269" s="35" t="s">
        <v>2819</v>
      </c>
      <c r="E269" s="19" t="s">
        <v>27</v>
      </c>
      <c r="F269" s="18" t="s">
        <v>2820</v>
      </c>
      <c r="G269" s="19" t="s">
        <v>2821</v>
      </c>
      <c r="H269" s="19" t="s">
        <v>2822</v>
      </c>
      <c r="I269" s="19" t="s">
        <v>2823</v>
      </c>
      <c r="J269" s="19" t="s">
        <v>2824</v>
      </c>
      <c r="K269" s="19" t="s">
        <v>2825</v>
      </c>
      <c r="L269" s="19" t="s">
        <v>2826</v>
      </c>
      <c r="M269" s="19" t="s">
        <v>35</v>
      </c>
      <c r="N269" s="19" t="s">
        <v>36</v>
      </c>
      <c r="O269" s="19" t="s">
        <v>37</v>
      </c>
      <c r="P269" s="19" t="s">
        <v>38</v>
      </c>
      <c r="Q269" s="19" t="str">
        <f t="shared" si="1"/>
        <v>HSK1-VOCAB-265</v>
      </c>
      <c r="R269" s="19" t="str">
        <f t="shared" si="2"/>
        <v>Chinese::HSK::HSK1::Vocabulary</v>
      </c>
      <c r="S269" s="21" t="s">
        <v>2123</v>
      </c>
      <c r="T269" s="4"/>
    </row>
    <row r="270" ht="30.0" customHeight="1">
      <c r="A270" s="34" t="s">
        <v>2827</v>
      </c>
      <c r="B270" s="35" t="s">
        <v>2828</v>
      </c>
      <c r="C270" s="35" t="s">
        <v>2829</v>
      </c>
      <c r="D270" s="35" t="s">
        <v>2830</v>
      </c>
      <c r="E270" s="19" t="s">
        <v>27</v>
      </c>
      <c r="F270" s="18" t="s">
        <v>2831</v>
      </c>
      <c r="G270" s="19" t="s">
        <v>2832</v>
      </c>
      <c r="H270" s="19" t="s">
        <v>2833</v>
      </c>
      <c r="I270" s="19" t="s">
        <v>2834</v>
      </c>
      <c r="J270" s="19" t="s">
        <v>2835</v>
      </c>
      <c r="K270" s="19" t="s">
        <v>2836</v>
      </c>
      <c r="L270" s="19" t="s">
        <v>2837</v>
      </c>
      <c r="M270" s="19" t="s">
        <v>35</v>
      </c>
      <c r="N270" s="19" t="s">
        <v>36</v>
      </c>
      <c r="O270" s="19" t="s">
        <v>37</v>
      </c>
      <c r="P270" s="19" t="s">
        <v>38</v>
      </c>
      <c r="Q270" s="19" t="str">
        <f t="shared" si="1"/>
        <v>HSK1-VOCAB-266</v>
      </c>
      <c r="R270" s="19" t="str">
        <f t="shared" si="2"/>
        <v>Chinese::HSK::HSK1::Vocabulary</v>
      </c>
      <c r="S270" s="21" t="s">
        <v>2123</v>
      </c>
      <c r="T270" s="4"/>
    </row>
    <row r="271" ht="30.0" customHeight="1">
      <c r="A271" s="34" t="s">
        <v>2838</v>
      </c>
      <c r="B271" s="35" t="s">
        <v>2839</v>
      </c>
      <c r="C271" s="35" t="s">
        <v>2840</v>
      </c>
      <c r="D271" s="35" t="s">
        <v>1885</v>
      </c>
      <c r="E271" s="19" t="s">
        <v>240</v>
      </c>
      <c r="F271" s="18" t="s">
        <v>2841</v>
      </c>
      <c r="G271" s="19" t="s">
        <v>2842</v>
      </c>
      <c r="H271" s="19" t="s">
        <v>2843</v>
      </c>
      <c r="I271" s="19" t="s">
        <v>2844</v>
      </c>
      <c r="J271" s="19" t="s">
        <v>2845</v>
      </c>
      <c r="K271" s="19" t="s">
        <v>2846</v>
      </c>
      <c r="L271" s="19" t="s">
        <v>2847</v>
      </c>
      <c r="M271" s="19" t="s">
        <v>35</v>
      </c>
      <c r="N271" s="19" t="s">
        <v>36</v>
      </c>
      <c r="O271" s="19" t="s">
        <v>37</v>
      </c>
      <c r="P271" s="19" t="s">
        <v>38</v>
      </c>
      <c r="Q271" s="19" t="str">
        <f t="shared" si="1"/>
        <v>HSK1-VOCAB-267</v>
      </c>
      <c r="R271" s="19" t="str">
        <f t="shared" si="2"/>
        <v>Chinese::HSK::HSK1::Vocabulary</v>
      </c>
      <c r="S271" s="21" t="s">
        <v>2240</v>
      </c>
      <c r="T271" s="4"/>
    </row>
    <row r="272" ht="30.0" customHeight="1">
      <c r="A272" s="34" t="s">
        <v>2848</v>
      </c>
      <c r="B272" s="35" t="s">
        <v>2849</v>
      </c>
      <c r="C272" s="35" t="s">
        <v>2850</v>
      </c>
      <c r="D272" s="35" t="s">
        <v>2851</v>
      </c>
      <c r="E272" s="19" t="s">
        <v>240</v>
      </c>
      <c r="F272" s="18" t="s">
        <v>2852</v>
      </c>
      <c r="G272" s="19" t="s">
        <v>2853</v>
      </c>
      <c r="H272" s="19" t="s">
        <v>2854</v>
      </c>
      <c r="I272" s="19" t="s">
        <v>2855</v>
      </c>
      <c r="J272" s="19" t="s">
        <v>2856</v>
      </c>
      <c r="K272" s="19" t="s">
        <v>2857</v>
      </c>
      <c r="L272" s="19" t="s">
        <v>2858</v>
      </c>
      <c r="M272" s="19" t="s">
        <v>35</v>
      </c>
      <c r="N272" s="19" t="s">
        <v>36</v>
      </c>
      <c r="O272" s="19" t="s">
        <v>37</v>
      </c>
      <c r="P272" s="19" t="s">
        <v>38</v>
      </c>
      <c r="Q272" s="19" t="str">
        <f t="shared" si="1"/>
        <v>HSK1-VOCAB-268</v>
      </c>
      <c r="R272" s="19" t="str">
        <f t="shared" si="2"/>
        <v>Chinese::HSK::HSK1::Vocabulary</v>
      </c>
      <c r="S272" s="21" t="s">
        <v>2123</v>
      </c>
      <c r="T272" s="4"/>
    </row>
    <row r="273" ht="30.0" customHeight="1">
      <c r="A273" s="34" t="s">
        <v>2859</v>
      </c>
      <c r="B273" s="35" t="s">
        <v>2860</v>
      </c>
      <c r="C273" s="35" t="s">
        <v>2861</v>
      </c>
      <c r="D273" s="35" t="s">
        <v>2577</v>
      </c>
      <c r="E273" s="19" t="s">
        <v>240</v>
      </c>
      <c r="F273" s="18" t="s">
        <v>2862</v>
      </c>
      <c r="G273" s="19" t="s">
        <v>2863</v>
      </c>
      <c r="H273" s="19" t="s">
        <v>2864</v>
      </c>
      <c r="I273" s="19" t="s">
        <v>2865</v>
      </c>
      <c r="J273" s="19" t="s">
        <v>2866</v>
      </c>
      <c r="K273" s="19" t="s">
        <v>2867</v>
      </c>
      <c r="L273" s="19" t="s">
        <v>2868</v>
      </c>
      <c r="M273" s="19" t="s">
        <v>35</v>
      </c>
      <c r="N273" s="19" t="s">
        <v>36</v>
      </c>
      <c r="O273" s="19" t="s">
        <v>37</v>
      </c>
      <c r="P273" s="19" t="s">
        <v>38</v>
      </c>
      <c r="Q273" s="19" t="str">
        <f t="shared" si="1"/>
        <v>HSK1-VOCAB-269</v>
      </c>
      <c r="R273" s="19" t="str">
        <f t="shared" si="2"/>
        <v>Chinese::HSK::HSK1::Vocabulary</v>
      </c>
      <c r="S273" s="21" t="s">
        <v>2123</v>
      </c>
      <c r="T273" s="4"/>
    </row>
    <row r="274" ht="30.0" customHeight="1">
      <c r="A274" s="34" t="s">
        <v>2869</v>
      </c>
      <c r="B274" s="35" t="s">
        <v>2870</v>
      </c>
      <c r="C274" s="35" t="s">
        <v>2871</v>
      </c>
      <c r="D274" s="35" t="s">
        <v>2872</v>
      </c>
      <c r="E274" s="19" t="s">
        <v>27</v>
      </c>
      <c r="F274" s="18" t="s">
        <v>2873</v>
      </c>
      <c r="G274" s="19" t="s">
        <v>2874</v>
      </c>
      <c r="H274" s="19" t="s">
        <v>2875</v>
      </c>
      <c r="I274" s="19" t="s">
        <v>2876</v>
      </c>
      <c r="J274" s="19" t="s">
        <v>2877</v>
      </c>
      <c r="K274" s="19" t="s">
        <v>2878</v>
      </c>
      <c r="L274" s="19" t="s">
        <v>1507</v>
      </c>
      <c r="M274" s="19" t="s">
        <v>35</v>
      </c>
      <c r="N274" s="19" t="s">
        <v>36</v>
      </c>
      <c r="O274" s="19" t="s">
        <v>37</v>
      </c>
      <c r="P274" s="19" t="s">
        <v>38</v>
      </c>
      <c r="Q274" s="19" t="str">
        <f t="shared" si="1"/>
        <v>HSK1-VOCAB-270</v>
      </c>
      <c r="R274" s="19" t="str">
        <f t="shared" si="2"/>
        <v>Chinese::HSK::HSK1::Vocabulary</v>
      </c>
      <c r="S274" s="21" t="s">
        <v>2123</v>
      </c>
      <c r="T274" s="4"/>
    </row>
    <row r="275" ht="30.0" customHeight="1">
      <c r="A275" s="34" t="s">
        <v>2879</v>
      </c>
      <c r="B275" s="35" t="s">
        <v>2880</v>
      </c>
      <c r="C275" s="35" t="s">
        <v>2881</v>
      </c>
      <c r="D275" s="35" t="s">
        <v>2882</v>
      </c>
      <c r="E275" s="19" t="s">
        <v>27</v>
      </c>
      <c r="F275" s="18" t="s">
        <v>2883</v>
      </c>
      <c r="G275" s="19" t="s">
        <v>1599</v>
      </c>
      <c r="H275" s="19" t="s">
        <v>2884</v>
      </c>
      <c r="I275" s="19" t="s">
        <v>2885</v>
      </c>
      <c r="J275" s="19" t="s">
        <v>2886</v>
      </c>
      <c r="K275" s="19" t="s">
        <v>2887</v>
      </c>
      <c r="L275" s="19" t="s">
        <v>1507</v>
      </c>
      <c r="M275" s="19" t="s">
        <v>35</v>
      </c>
      <c r="N275" s="19" t="s">
        <v>36</v>
      </c>
      <c r="O275" s="19" t="s">
        <v>37</v>
      </c>
      <c r="P275" s="19" t="s">
        <v>38</v>
      </c>
      <c r="Q275" s="19" t="str">
        <f t="shared" si="1"/>
        <v>HSK1-VOCAB-271</v>
      </c>
      <c r="R275" s="19" t="str">
        <f t="shared" si="2"/>
        <v>Chinese::HSK::HSK1::Vocabulary</v>
      </c>
      <c r="S275" s="21" t="s">
        <v>2123</v>
      </c>
      <c r="T275" s="4"/>
    </row>
    <row r="276" ht="30.0" customHeight="1">
      <c r="A276" s="34" t="s">
        <v>2888</v>
      </c>
      <c r="B276" s="35" t="s">
        <v>2889</v>
      </c>
      <c r="C276" s="36" t="s">
        <v>2890</v>
      </c>
      <c r="D276" s="35" t="s">
        <v>2891</v>
      </c>
      <c r="E276" s="19" t="s">
        <v>27</v>
      </c>
      <c r="F276" s="18" t="s">
        <v>2892</v>
      </c>
      <c r="G276" s="19" t="s">
        <v>2893</v>
      </c>
      <c r="H276" s="19" t="s">
        <v>2894</v>
      </c>
      <c r="I276" s="19" t="s">
        <v>2895</v>
      </c>
      <c r="J276" s="19" t="s">
        <v>2896</v>
      </c>
      <c r="K276" s="19" t="s">
        <v>2897</v>
      </c>
      <c r="L276" s="19" t="s">
        <v>2898</v>
      </c>
      <c r="M276" s="19" t="s">
        <v>35</v>
      </c>
      <c r="N276" s="19" t="s">
        <v>36</v>
      </c>
      <c r="O276" s="19" t="s">
        <v>37</v>
      </c>
      <c r="P276" s="19" t="s">
        <v>38</v>
      </c>
      <c r="Q276" s="19" t="str">
        <f t="shared" si="1"/>
        <v>HSK1-VOCAB-272</v>
      </c>
      <c r="R276" s="19" t="str">
        <f t="shared" si="2"/>
        <v>Chinese::HSK::HSK1::Vocabulary</v>
      </c>
      <c r="S276" s="21" t="s">
        <v>2240</v>
      </c>
      <c r="T276" s="4"/>
    </row>
    <row r="277" ht="30.0" customHeight="1">
      <c r="A277" s="34" t="s">
        <v>2899</v>
      </c>
      <c r="B277" s="35" t="s">
        <v>2900</v>
      </c>
      <c r="C277" s="35" t="s">
        <v>2410</v>
      </c>
      <c r="D277" s="35" t="s">
        <v>2411</v>
      </c>
      <c r="E277" s="19" t="s">
        <v>727</v>
      </c>
      <c r="F277" s="18" t="s">
        <v>2901</v>
      </c>
      <c r="G277" s="19" t="s">
        <v>2902</v>
      </c>
      <c r="H277" s="19" t="s">
        <v>2903</v>
      </c>
      <c r="I277" s="19" t="s">
        <v>2904</v>
      </c>
      <c r="J277" s="19" t="s">
        <v>2905</v>
      </c>
      <c r="K277" s="19" t="s">
        <v>2906</v>
      </c>
      <c r="L277" s="19" t="s">
        <v>2907</v>
      </c>
      <c r="M277" s="19" t="s">
        <v>35</v>
      </c>
      <c r="N277" s="19" t="s">
        <v>36</v>
      </c>
      <c r="O277" s="19" t="s">
        <v>37</v>
      </c>
      <c r="P277" s="19" t="s">
        <v>38</v>
      </c>
      <c r="Q277" s="19" t="str">
        <f t="shared" si="1"/>
        <v>HSK1-VOCAB-273</v>
      </c>
      <c r="R277" s="19" t="str">
        <f t="shared" si="2"/>
        <v>Chinese::HSK::HSK1::Vocabulary</v>
      </c>
      <c r="S277" s="21" t="s">
        <v>2123</v>
      </c>
      <c r="T277" s="4"/>
    </row>
    <row r="278" ht="30.0" customHeight="1">
      <c r="A278" s="34" t="s">
        <v>2908</v>
      </c>
      <c r="B278" s="35" t="s">
        <v>2909</v>
      </c>
      <c r="C278" s="35" t="s">
        <v>2910</v>
      </c>
      <c r="D278" s="35" t="s">
        <v>2911</v>
      </c>
      <c r="E278" s="19" t="s">
        <v>513</v>
      </c>
      <c r="F278" s="22" t="s">
        <v>2912</v>
      </c>
      <c r="G278" s="23" t="s">
        <v>2913</v>
      </c>
      <c r="H278" s="23" t="s">
        <v>2914</v>
      </c>
      <c r="I278" s="23" t="s">
        <v>2915</v>
      </c>
      <c r="J278" s="23" t="s">
        <v>2916</v>
      </c>
      <c r="K278" s="23" t="s">
        <v>2917</v>
      </c>
      <c r="L278" s="23" t="s">
        <v>2918</v>
      </c>
      <c r="M278" s="23" t="s">
        <v>35</v>
      </c>
      <c r="N278" s="23" t="s">
        <v>36</v>
      </c>
      <c r="O278" s="23" t="s">
        <v>37</v>
      </c>
      <c r="P278" s="23" t="s">
        <v>38</v>
      </c>
      <c r="Q278" s="19" t="str">
        <f t="shared" si="1"/>
        <v>HSK1-VOCAB-274</v>
      </c>
      <c r="R278" s="19" t="str">
        <f t="shared" si="2"/>
        <v>Chinese::HSK::HSK1::Vocabulary</v>
      </c>
      <c r="S278" s="21" t="s">
        <v>2240</v>
      </c>
      <c r="T278" s="32"/>
    </row>
    <row r="279" ht="30.0" customHeight="1">
      <c r="A279" s="34" t="s">
        <v>2919</v>
      </c>
      <c r="B279" s="35" t="s">
        <v>2920</v>
      </c>
      <c r="C279" s="35" t="s">
        <v>2921</v>
      </c>
      <c r="D279" s="35" t="s">
        <v>2922</v>
      </c>
      <c r="E279" s="19" t="s">
        <v>513</v>
      </c>
      <c r="F279" s="18" t="s">
        <v>2923</v>
      </c>
      <c r="G279" s="19" t="s">
        <v>2924</v>
      </c>
      <c r="H279" s="19" t="s">
        <v>2925</v>
      </c>
      <c r="I279" s="19" t="s">
        <v>2926</v>
      </c>
      <c r="J279" s="19" t="s">
        <v>2927</v>
      </c>
      <c r="K279" s="19" t="s">
        <v>2928</v>
      </c>
      <c r="L279" s="19" t="s">
        <v>1279</v>
      </c>
      <c r="M279" s="19" t="s">
        <v>35</v>
      </c>
      <c r="N279" s="19" t="s">
        <v>36</v>
      </c>
      <c r="O279" s="19" t="s">
        <v>37</v>
      </c>
      <c r="P279" s="19" t="s">
        <v>38</v>
      </c>
      <c r="Q279" s="19" t="str">
        <f t="shared" si="1"/>
        <v>HSK1-VOCAB-275</v>
      </c>
      <c r="R279" s="19" t="str">
        <f t="shared" si="2"/>
        <v>Chinese::HSK::HSK1::Vocabulary</v>
      </c>
      <c r="S279" s="21" t="s">
        <v>2123</v>
      </c>
      <c r="T279" s="4"/>
    </row>
    <row r="280" ht="30.0" customHeight="1">
      <c r="A280" s="34" t="s">
        <v>2929</v>
      </c>
      <c r="B280" s="35" t="s">
        <v>2930</v>
      </c>
      <c r="C280" s="35" t="s">
        <v>2931</v>
      </c>
      <c r="D280" s="35" t="s">
        <v>1272</v>
      </c>
      <c r="E280" s="19" t="s">
        <v>513</v>
      </c>
      <c r="F280" s="18" t="s">
        <v>2932</v>
      </c>
      <c r="G280" s="19" t="s">
        <v>2933</v>
      </c>
      <c r="H280" s="19" t="s">
        <v>2934</v>
      </c>
      <c r="I280" s="19" t="s">
        <v>2935</v>
      </c>
      <c r="J280" s="19" t="s">
        <v>2936</v>
      </c>
      <c r="K280" s="19" t="s">
        <v>2937</v>
      </c>
      <c r="L280" s="19" t="s">
        <v>1279</v>
      </c>
      <c r="M280" s="19" t="s">
        <v>35</v>
      </c>
      <c r="N280" s="19" t="s">
        <v>36</v>
      </c>
      <c r="O280" s="19" t="s">
        <v>37</v>
      </c>
      <c r="P280" s="19" t="s">
        <v>38</v>
      </c>
      <c r="Q280" s="19" t="str">
        <f t="shared" si="1"/>
        <v>HSK1-VOCAB-276</v>
      </c>
      <c r="R280" s="19" t="str">
        <f t="shared" si="2"/>
        <v>Chinese::HSK::HSK1::Vocabulary</v>
      </c>
      <c r="S280" s="21" t="s">
        <v>2123</v>
      </c>
      <c r="T280" s="4"/>
    </row>
    <row r="281" ht="30.0" customHeight="1">
      <c r="A281" s="34" t="s">
        <v>2938</v>
      </c>
      <c r="B281" s="35" t="s">
        <v>2939</v>
      </c>
      <c r="C281" s="35" t="s">
        <v>2940</v>
      </c>
      <c r="D281" s="35" t="s">
        <v>2941</v>
      </c>
      <c r="E281" s="19" t="s">
        <v>240</v>
      </c>
      <c r="F281" s="18" t="s">
        <v>2942</v>
      </c>
      <c r="G281" s="19" t="s">
        <v>2943</v>
      </c>
      <c r="H281" s="19" t="s">
        <v>2944</v>
      </c>
      <c r="I281" s="19" t="s">
        <v>2945</v>
      </c>
      <c r="J281" s="19" t="s">
        <v>2946</v>
      </c>
      <c r="K281" s="19" t="s">
        <v>2947</v>
      </c>
      <c r="L281" s="19" t="s">
        <v>2948</v>
      </c>
      <c r="M281" s="19" t="s">
        <v>35</v>
      </c>
      <c r="N281" s="19" t="s">
        <v>36</v>
      </c>
      <c r="O281" s="19" t="s">
        <v>37</v>
      </c>
      <c r="P281" s="19" t="s">
        <v>38</v>
      </c>
      <c r="Q281" s="19" t="str">
        <f t="shared" si="1"/>
        <v>HSK1-VOCAB-277</v>
      </c>
      <c r="R281" s="19" t="str">
        <f t="shared" si="2"/>
        <v>Chinese::HSK::HSK1::Vocabulary</v>
      </c>
      <c r="S281" s="21" t="s">
        <v>2123</v>
      </c>
      <c r="T281" s="4"/>
    </row>
    <row r="282" ht="30.0" customHeight="1">
      <c r="A282" s="34" t="s">
        <v>2949</v>
      </c>
      <c r="B282" s="35" t="s">
        <v>2950</v>
      </c>
      <c r="C282" s="35" t="s">
        <v>2951</v>
      </c>
      <c r="D282" s="35" t="s">
        <v>2952</v>
      </c>
      <c r="E282" s="19" t="s">
        <v>27</v>
      </c>
      <c r="F282" s="18" t="s">
        <v>2953</v>
      </c>
      <c r="G282" s="19" t="s">
        <v>2954</v>
      </c>
      <c r="H282" s="19" t="s">
        <v>2955</v>
      </c>
      <c r="I282" s="19" t="s">
        <v>2956</v>
      </c>
      <c r="J282" s="19" t="s">
        <v>2957</v>
      </c>
      <c r="K282" s="19" t="s">
        <v>2958</v>
      </c>
      <c r="L282" s="19" t="s">
        <v>2959</v>
      </c>
      <c r="M282" s="19" t="s">
        <v>35</v>
      </c>
      <c r="N282" s="19" t="s">
        <v>36</v>
      </c>
      <c r="O282" s="19" t="s">
        <v>37</v>
      </c>
      <c r="P282" s="19" t="s">
        <v>38</v>
      </c>
      <c r="Q282" s="19" t="str">
        <f t="shared" si="1"/>
        <v>HSK1-VOCAB-278</v>
      </c>
      <c r="R282" s="19" t="str">
        <f t="shared" si="2"/>
        <v>Chinese::HSK::HSK1::Vocabulary</v>
      </c>
      <c r="S282" s="21" t="s">
        <v>2123</v>
      </c>
      <c r="T282" s="4"/>
    </row>
    <row r="283" ht="30.0" customHeight="1">
      <c r="A283" s="34" t="s">
        <v>2960</v>
      </c>
      <c r="B283" s="35" t="s">
        <v>2961</v>
      </c>
      <c r="C283" s="35" t="s">
        <v>2962</v>
      </c>
      <c r="D283" s="35" t="s">
        <v>2963</v>
      </c>
      <c r="E283" s="19" t="s">
        <v>513</v>
      </c>
      <c r="F283" s="18" t="s">
        <v>2964</v>
      </c>
      <c r="G283" s="19" t="s">
        <v>2965</v>
      </c>
      <c r="H283" s="19" t="s">
        <v>2966</v>
      </c>
      <c r="I283" s="19" t="s">
        <v>2967</v>
      </c>
      <c r="J283" s="19" t="s">
        <v>2968</v>
      </c>
      <c r="K283" s="19" t="s">
        <v>2969</v>
      </c>
      <c r="L283" s="19" t="s">
        <v>2970</v>
      </c>
      <c r="M283" s="19" t="s">
        <v>35</v>
      </c>
      <c r="N283" s="19" t="s">
        <v>36</v>
      </c>
      <c r="O283" s="19" t="s">
        <v>37</v>
      </c>
      <c r="P283" s="19" t="s">
        <v>38</v>
      </c>
      <c r="Q283" s="19" t="str">
        <f t="shared" si="1"/>
        <v>HSK1-VOCAB-279</v>
      </c>
      <c r="R283" s="19" t="str">
        <f t="shared" si="2"/>
        <v>Chinese::HSK::HSK1::Vocabulary</v>
      </c>
      <c r="S283" s="21" t="s">
        <v>2123</v>
      </c>
      <c r="T283" s="4"/>
    </row>
    <row r="284" ht="30.0" customHeight="1">
      <c r="A284" s="34" t="s">
        <v>2971</v>
      </c>
      <c r="B284" s="35" t="s">
        <v>2972</v>
      </c>
      <c r="C284" s="35" t="s">
        <v>534</v>
      </c>
      <c r="D284" s="35" t="s">
        <v>535</v>
      </c>
      <c r="E284" s="19" t="s">
        <v>27</v>
      </c>
      <c r="F284" s="18" t="s">
        <v>2973</v>
      </c>
      <c r="G284" s="19" t="s">
        <v>2974</v>
      </c>
      <c r="H284" s="19" t="s">
        <v>2975</v>
      </c>
      <c r="I284" s="19" t="s">
        <v>2976</v>
      </c>
      <c r="J284" s="19" t="s">
        <v>2977</v>
      </c>
      <c r="K284" s="19" t="s">
        <v>2978</v>
      </c>
      <c r="L284" s="19" t="s">
        <v>531</v>
      </c>
      <c r="M284" s="19" t="s">
        <v>35</v>
      </c>
      <c r="N284" s="19" t="s">
        <v>36</v>
      </c>
      <c r="O284" s="19" t="s">
        <v>37</v>
      </c>
      <c r="P284" s="19" t="s">
        <v>38</v>
      </c>
      <c r="Q284" s="19" t="str">
        <f t="shared" si="1"/>
        <v>HSK1-VOCAB-280</v>
      </c>
      <c r="R284" s="19" t="str">
        <f t="shared" si="2"/>
        <v>Chinese::HSK::HSK1::Vocabulary</v>
      </c>
      <c r="S284" s="21" t="s">
        <v>2123</v>
      </c>
      <c r="T284" s="4"/>
    </row>
    <row r="285" ht="30.0" customHeight="1">
      <c r="A285" s="34" t="s">
        <v>2979</v>
      </c>
      <c r="B285" s="35" t="s">
        <v>2980</v>
      </c>
      <c r="C285" s="35" t="s">
        <v>2981</v>
      </c>
      <c r="D285" s="35" t="s">
        <v>2982</v>
      </c>
      <c r="E285" s="19" t="s">
        <v>727</v>
      </c>
      <c r="F285" s="18" t="s">
        <v>2983</v>
      </c>
      <c r="G285" s="19" t="s">
        <v>2984</v>
      </c>
      <c r="H285" s="19" t="s">
        <v>2985</v>
      </c>
      <c r="I285" s="19" t="s">
        <v>2986</v>
      </c>
      <c r="J285" s="19" t="s">
        <v>2987</v>
      </c>
      <c r="K285" s="19" t="s">
        <v>2988</v>
      </c>
      <c r="L285" s="19" t="s">
        <v>2989</v>
      </c>
      <c r="M285" s="19" t="s">
        <v>35</v>
      </c>
      <c r="N285" s="19" t="s">
        <v>36</v>
      </c>
      <c r="O285" s="19" t="s">
        <v>37</v>
      </c>
      <c r="P285" s="19" t="s">
        <v>38</v>
      </c>
      <c r="Q285" s="19" t="str">
        <f t="shared" si="1"/>
        <v>HSK1-VOCAB-281</v>
      </c>
      <c r="R285" s="19" t="str">
        <f t="shared" si="2"/>
        <v>Chinese::HSK::HSK1::Vocabulary</v>
      </c>
      <c r="S285" s="21" t="s">
        <v>2123</v>
      </c>
      <c r="T285" s="4"/>
    </row>
    <row r="286" ht="30.0" customHeight="1">
      <c r="A286" s="34" t="s">
        <v>2990</v>
      </c>
      <c r="B286" s="35" t="s">
        <v>2991</v>
      </c>
      <c r="C286" s="35" t="s">
        <v>2992</v>
      </c>
      <c r="D286" s="35" t="s">
        <v>2993</v>
      </c>
      <c r="E286" s="19" t="s">
        <v>727</v>
      </c>
      <c r="F286" s="18" t="s">
        <v>2994</v>
      </c>
      <c r="G286" s="19" t="s">
        <v>2995</v>
      </c>
      <c r="H286" s="19" t="s">
        <v>2996</v>
      </c>
      <c r="I286" s="19" t="s">
        <v>2997</v>
      </c>
      <c r="J286" s="19" t="s">
        <v>2998</v>
      </c>
      <c r="K286" s="19" t="s">
        <v>2999</v>
      </c>
      <c r="L286" s="19" t="s">
        <v>3000</v>
      </c>
      <c r="M286" s="19" t="s">
        <v>35</v>
      </c>
      <c r="N286" s="19" t="s">
        <v>36</v>
      </c>
      <c r="O286" s="19" t="s">
        <v>37</v>
      </c>
      <c r="P286" s="19" t="s">
        <v>38</v>
      </c>
      <c r="Q286" s="19" t="str">
        <f t="shared" si="1"/>
        <v>HSK1-VOCAB-282</v>
      </c>
      <c r="R286" s="19" t="str">
        <f t="shared" si="2"/>
        <v>Chinese::HSK::HSK1::Vocabulary</v>
      </c>
      <c r="S286" s="21" t="s">
        <v>2123</v>
      </c>
      <c r="T286" s="4"/>
    </row>
    <row r="287" ht="30.0" customHeight="1">
      <c r="A287" s="34" t="s">
        <v>3001</v>
      </c>
      <c r="B287" s="35" t="s">
        <v>3002</v>
      </c>
      <c r="C287" s="35" t="s">
        <v>3003</v>
      </c>
      <c r="D287" s="35" t="s">
        <v>3004</v>
      </c>
      <c r="E287" s="19" t="s">
        <v>27</v>
      </c>
      <c r="F287" s="18" t="s">
        <v>3005</v>
      </c>
      <c r="G287" s="19" t="s">
        <v>3006</v>
      </c>
      <c r="H287" s="19" t="s">
        <v>3007</v>
      </c>
      <c r="I287" s="19" t="s">
        <v>3008</v>
      </c>
      <c r="J287" s="19" t="s">
        <v>3009</v>
      </c>
      <c r="K287" s="19" t="s">
        <v>3010</v>
      </c>
      <c r="L287" s="19" t="s">
        <v>3011</v>
      </c>
      <c r="M287" s="19" t="s">
        <v>35</v>
      </c>
      <c r="N287" s="19" t="s">
        <v>36</v>
      </c>
      <c r="O287" s="19" t="s">
        <v>37</v>
      </c>
      <c r="P287" s="19" t="s">
        <v>38</v>
      </c>
      <c r="Q287" s="19" t="str">
        <f t="shared" si="1"/>
        <v>HSK1-VOCAB-283</v>
      </c>
      <c r="R287" s="19" t="str">
        <f t="shared" si="2"/>
        <v>Chinese::HSK::HSK1::Vocabulary</v>
      </c>
      <c r="S287" s="21" t="s">
        <v>2240</v>
      </c>
      <c r="T287" s="4"/>
    </row>
    <row r="288" ht="30.0" customHeight="1">
      <c r="A288" s="34" t="s">
        <v>3012</v>
      </c>
      <c r="B288" s="35" t="s">
        <v>3013</v>
      </c>
      <c r="C288" s="35" t="s">
        <v>3014</v>
      </c>
      <c r="D288" s="35" t="s">
        <v>3015</v>
      </c>
      <c r="E288" s="19" t="s">
        <v>27</v>
      </c>
      <c r="F288" s="18" t="s">
        <v>3016</v>
      </c>
      <c r="G288" s="19" t="s">
        <v>3017</v>
      </c>
      <c r="H288" s="19" t="s">
        <v>3018</v>
      </c>
      <c r="I288" s="19" t="s">
        <v>3019</v>
      </c>
      <c r="J288" s="19" t="s">
        <v>3020</v>
      </c>
      <c r="K288" s="19" t="s">
        <v>3021</v>
      </c>
      <c r="L288" s="19" t="s">
        <v>3022</v>
      </c>
      <c r="M288" s="19" t="s">
        <v>35</v>
      </c>
      <c r="N288" s="19" t="s">
        <v>36</v>
      </c>
      <c r="O288" s="19" t="s">
        <v>37</v>
      </c>
      <c r="P288" s="19" t="s">
        <v>38</v>
      </c>
      <c r="Q288" s="19" t="str">
        <f t="shared" si="1"/>
        <v>HSK1-VOCAB-284</v>
      </c>
      <c r="R288" s="19" t="str">
        <f t="shared" si="2"/>
        <v>Chinese::HSK::HSK1::Vocabulary</v>
      </c>
      <c r="S288" s="21" t="s">
        <v>2123</v>
      </c>
      <c r="T288" s="4"/>
    </row>
    <row r="289" ht="30.0" customHeight="1">
      <c r="A289" s="34" t="s">
        <v>3023</v>
      </c>
      <c r="B289" s="35" t="s">
        <v>3024</v>
      </c>
      <c r="C289" s="35" t="s">
        <v>3025</v>
      </c>
      <c r="D289" s="35" t="s">
        <v>3026</v>
      </c>
      <c r="E289" s="19" t="s">
        <v>27</v>
      </c>
      <c r="F289" s="18" t="s">
        <v>3027</v>
      </c>
      <c r="G289" s="19" t="s">
        <v>3028</v>
      </c>
      <c r="H289" s="19" t="s">
        <v>3029</v>
      </c>
      <c r="I289" s="19" t="s">
        <v>3030</v>
      </c>
      <c r="J289" s="19" t="s">
        <v>3031</v>
      </c>
      <c r="K289" s="19" t="s">
        <v>3032</v>
      </c>
      <c r="L289" s="19" t="s">
        <v>258</v>
      </c>
      <c r="M289" s="19" t="s">
        <v>35</v>
      </c>
      <c r="N289" s="19" t="s">
        <v>36</v>
      </c>
      <c r="O289" s="19" t="s">
        <v>37</v>
      </c>
      <c r="P289" s="19" t="s">
        <v>38</v>
      </c>
      <c r="Q289" s="19" t="str">
        <f t="shared" si="1"/>
        <v>HSK1-VOCAB-285</v>
      </c>
      <c r="R289" s="19" t="str">
        <f t="shared" si="2"/>
        <v>Chinese::HSK::HSK1::Vocabulary</v>
      </c>
      <c r="S289" s="21" t="s">
        <v>2123</v>
      </c>
      <c r="T289" s="4"/>
    </row>
    <row r="290" ht="30.0" customHeight="1">
      <c r="A290" s="34" t="s">
        <v>3033</v>
      </c>
      <c r="B290" s="35" t="s">
        <v>3034</v>
      </c>
      <c r="C290" s="35" t="s">
        <v>3035</v>
      </c>
      <c r="D290" s="35" t="s">
        <v>3036</v>
      </c>
      <c r="E290" s="19" t="s">
        <v>27</v>
      </c>
      <c r="F290" s="18" t="s">
        <v>3037</v>
      </c>
      <c r="G290" s="19" t="s">
        <v>3038</v>
      </c>
      <c r="H290" s="19" t="s">
        <v>3039</v>
      </c>
      <c r="I290" s="19" t="s">
        <v>3040</v>
      </c>
      <c r="J290" s="19" t="s">
        <v>3041</v>
      </c>
      <c r="K290" s="19" t="s">
        <v>3042</v>
      </c>
      <c r="L290" s="19" t="s">
        <v>3043</v>
      </c>
      <c r="M290" s="19" t="s">
        <v>35</v>
      </c>
      <c r="N290" s="19" t="s">
        <v>36</v>
      </c>
      <c r="O290" s="19" t="s">
        <v>37</v>
      </c>
      <c r="P290" s="19" t="s">
        <v>38</v>
      </c>
      <c r="Q290" s="19" t="str">
        <f t="shared" si="1"/>
        <v>HSK1-VOCAB-286</v>
      </c>
      <c r="R290" s="19" t="str">
        <f t="shared" si="2"/>
        <v>Chinese::HSK::HSK1::Vocabulary</v>
      </c>
      <c r="S290" s="21" t="s">
        <v>2123</v>
      </c>
      <c r="T290" s="4"/>
    </row>
    <row r="291" ht="30.0" customHeight="1">
      <c r="A291" s="34" t="s">
        <v>3044</v>
      </c>
      <c r="B291" s="35" t="s">
        <v>3045</v>
      </c>
      <c r="C291" s="35" t="s">
        <v>3046</v>
      </c>
      <c r="D291" s="35" t="s">
        <v>3047</v>
      </c>
      <c r="E291" s="19" t="s">
        <v>27</v>
      </c>
      <c r="F291" s="18" t="s">
        <v>3048</v>
      </c>
      <c r="G291" s="19" t="s">
        <v>3049</v>
      </c>
      <c r="H291" s="19" t="s">
        <v>3050</v>
      </c>
      <c r="I291" s="19" t="s">
        <v>3051</v>
      </c>
      <c r="J291" s="19" t="s">
        <v>3052</v>
      </c>
      <c r="K291" s="19" t="s">
        <v>3053</v>
      </c>
      <c r="L291" s="19" t="s">
        <v>3054</v>
      </c>
      <c r="M291" s="19" t="s">
        <v>35</v>
      </c>
      <c r="N291" s="19" t="s">
        <v>36</v>
      </c>
      <c r="O291" s="19" t="s">
        <v>37</v>
      </c>
      <c r="P291" s="19" t="s">
        <v>38</v>
      </c>
      <c r="Q291" s="19" t="str">
        <f t="shared" si="1"/>
        <v>HSK1-VOCAB-287</v>
      </c>
      <c r="R291" s="19" t="str">
        <f t="shared" si="2"/>
        <v>Chinese::HSK::HSK1::Vocabulary</v>
      </c>
      <c r="S291" s="21" t="s">
        <v>2123</v>
      </c>
      <c r="T291" s="4"/>
    </row>
    <row r="292" ht="30.0" customHeight="1">
      <c r="A292" s="34" t="s">
        <v>3055</v>
      </c>
      <c r="B292" s="35" t="s">
        <v>1194</v>
      </c>
      <c r="C292" s="35" t="s">
        <v>3056</v>
      </c>
      <c r="D292" s="35" t="s">
        <v>3057</v>
      </c>
      <c r="E292" s="19" t="s">
        <v>27</v>
      </c>
      <c r="F292" s="18" t="s">
        <v>3058</v>
      </c>
      <c r="G292" s="19" t="s">
        <v>3059</v>
      </c>
      <c r="H292" s="19" t="s">
        <v>3060</v>
      </c>
      <c r="I292" s="19" t="s">
        <v>3061</v>
      </c>
      <c r="J292" s="19" t="s">
        <v>3062</v>
      </c>
      <c r="K292" s="19" t="s">
        <v>3063</v>
      </c>
      <c r="L292" s="19" t="s">
        <v>3054</v>
      </c>
      <c r="M292" s="19" t="s">
        <v>35</v>
      </c>
      <c r="N292" s="19" t="s">
        <v>36</v>
      </c>
      <c r="O292" s="19" t="s">
        <v>37</v>
      </c>
      <c r="P292" s="19" t="s">
        <v>38</v>
      </c>
      <c r="Q292" s="19" t="str">
        <f t="shared" si="1"/>
        <v>HSK1-VOCAB-288</v>
      </c>
      <c r="R292" s="19" t="str">
        <f t="shared" si="2"/>
        <v>Chinese::HSK::HSK1::Vocabulary</v>
      </c>
      <c r="S292" s="21" t="s">
        <v>2123</v>
      </c>
      <c r="T292" s="4"/>
    </row>
    <row r="293" ht="30.0" customHeight="1">
      <c r="A293" s="34" t="s">
        <v>3064</v>
      </c>
      <c r="B293" s="35" t="s">
        <v>3065</v>
      </c>
      <c r="C293" s="35" t="s">
        <v>3066</v>
      </c>
      <c r="D293" s="35" t="s">
        <v>3067</v>
      </c>
      <c r="E293" s="19" t="s">
        <v>27</v>
      </c>
      <c r="F293" s="18" t="s">
        <v>3068</v>
      </c>
      <c r="G293" s="19" t="s">
        <v>3069</v>
      </c>
      <c r="H293" s="19" t="s">
        <v>3070</v>
      </c>
      <c r="I293" s="19" t="s">
        <v>3071</v>
      </c>
      <c r="J293" s="19" t="s">
        <v>3072</v>
      </c>
      <c r="K293" s="19" t="s">
        <v>3073</v>
      </c>
      <c r="L293" s="19" t="s">
        <v>3074</v>
      </c>
      <c r="M293" s="19" t="s">
        <v>35</v>
      </c>
      <c r="N293" s="19" t="s">
        <v>36</v>
      </c>
      <c r="O293" s="19" t="s">
        <v>37</v>
      </c>
      <c r="P293" s="19" t="s">
        <v>38</v>
      </c>
      <c r="Q293" s="19" t="str">
        <f t="shared" si="1"/>
        <v>HSK1-VOCAB-289</v>
      </c>
      <c r="R293" s="19" t="str">
        <f t="shared" si="2"/>
        <v>Chinese::HSK::HSK1::Vocabulary</v>
      </c>
      <c r="S293" s="21" t="s">
        <v>2123</v>
      </c>
      <c r="T293" s="4"/>
    </row>
    <row r="294" ht="30.0" customHeight="1">
      <c r="A294" s="34" t="s">
        <v>3075</v>
      </c>
      <c r="B294" s="35" t="s">
        <v>3076</v>
      </c>
      <c r="C294" s="35" t="s">
        <v>3077</v>
      </c>
      <c r="D294" s="35" t="s">
        <v>3078</v>
      </c>
      <c r="E294" s="19" t="s">
        <v>27</v>
      </c>
      <c r="F294" s="18" t="s">
        <v>3079</v>
      </c>
      <c r="G294" s="19" t="s">
        <v>3080</v>
      </c>
      <c r="H294" s="19" t="s">
        <v>3081</v>
      </c>
      <c r="I294" s="19" t="s">
        <v>3082</v>
      </c>
      <c r="J294" s="19" t="s">
        <v>3083</v>
      </c>
      <c r="K294" s="19" t="s">
        <v>3084</v>
      </c>
      <c r="L294" s="19" t="s">
        <v>3085</v>
      </c>
      <c r="M294" s="19" t="s">
        <v>35</v>
      </c>
      <c r="N294" s="19" t="s">
        <v>36</v>
      </c>
      <c r="O294" s="19" t="s">
        <v>37</v>
      </c>
      <c r="P294" s="19" t="s">
        <v>38</v>
      </c>
      <c r="Q294" s="19" t="str">
        <f t="shared" si="1"/>
        <v>HSK1-VOCAB-290</v>
      </c>
      <c r="R294" s="19" t="str">
        <f t="shared" si="2"/>
        <v>Chinese::HSK::HSK1::Vocabulary</v>
      </c>
      <c r="S294" s="21" t="s">
        <v>2123</v>
      </c>
      <c r="T294" s="4"/>
    </row>
    <row r="295" ht="30.0" customHeight="1">
      <c r="A295" s="34" t="s">
        <v>3086</v>
      </c>
      <c r="B295" s="35" t="s">
        <v>3087</v>
      </c>
      <c r="C295" s="36" t="s">
        <v>3088</v>
      </c>
      <c r="D295" s="36" t="s">
        <v>3089</v>
      </c>
      <c r="E295" s="19" t="s">
        <v>727</v>
      </c>
      <c r="F295" s="18" t="s">
        <v>3090</v>
      </c>
      <c r="G295" s="19" t="s">
        <v>3091</v>
      </c>
      <c r="H295" s="19" t="s">
        <v>3092</v>
      </c>
      <c r="I295" s="19" t="s">
        <v>3093</v>
      </c>
      <c r="J295" s="19" t="s">
        <v>3094</v>
      </c>
      <c r="K295" s="19" t="s">
        <v>3095</v>
      </c>
      <c r="L295" s="19" t="s">
        <v>3096</v>
      </c>
      <c r="M295" s="19" t="s">
        <v>35</v>
      </c>
      <c r="N295" s="19" t="s">
        <v>36</v>
      </c>
      <c r="O295" s="19" t="s">
        <v>37</v>
      </c>
      <c r="P295" s="19" t="s">
        <v>38</v>
      </c>
      <c r="Q295" s="19" t="str">
        <f t="shared" si="1"/>
        <v>HSK1-VOCAB-291</v>
      </c>
      <c r="R295" s="19" t="str">
        <f t="shared" si="2"/>
        <v>Chinese::HSK::HSK1::Vocabulary</v>
      </c>
      <c r="S295" s="21" t="s">
        <v>2240</v>
      </c>
      <c r="T295" s="4"/>
    </row>
    <row r="296" ht="30.0" customHeight="1">
      <c r="A296" s="34" t="s">
        <v>3097</v>
      </c>
      <c r="B296" s="35" t="s">
        <v>3098</v>
      </c>
      <c r="C296" s="35" t="s">
        <v>3099</v>
      </c>
      <c r="D296" s="35" t="s">
        <v>3100</v>
      </c>
      <c r="E296" s="19" t="s">
        <v>727</v>
      </c>
      <c r="F296" s="18" t="s">
        <v>3101</v>
      </c>
      <c r="G296" s="19" t="s">
        <v>3102</v>
      </c>
      <c r="H296" s="19" t="s">
        <v>3103</v>
      </c>
      <c r="I296" s="19" t="s">
        <v>3104</v>
      </c>
      <c r="J296" s="19" t="s">
        <v>3105</v>
      </c>
      <c r="K296" s="19" t="s">
        <v>3106</v>
      </c>
      <c r="L296" s="19" t="s">
        <v>3107</v>
      </c>
      <c r="M296" s="19" t="s">
        <v>35</v>
      </c>
      <c r="N296" s="19" t="s">
        <v>36</v>
      </c>
      <c r="O296" s="19" t="s">
        <v>37</v>
      </c>
      <c r="P296" s="19" t="s">
        <v>38</v>
      </c>
      <c r="Q296" s="19" t="str">
        <f t="shared" si="1"/>
        <v>HSK1-VOCAB-292</v>
      </c>
      <c r="R296" s="19" t="str">
        <f t="shared" si="2"/>
        <v>Chinese::HSK::HSK1::Vocabulary</v>
      </c>
      <c r="S296" s="21" t="s">
        <v>2123</v>
      </c>
      <c r="T296" s="4"/>
    </row>
    <row r="297" ht="30.0" customHeight="1">
      <c r="A297" s="34" t="s">
        <v>3108</v>
      </c>
      <c r="B297" s="35" t="s">
        <v>3109</v>
      </c>
      <c r="C297" s="35" t="s">
        <v>3110</v>
      </c>
      <c r="D297" s="35" t="s">
        <v>3111</v>
      </c>
      <c r="E297" s="19" t="s">
        <v>727</v>
      </c>
      <c r="F297" s="18" t="s">
        <v>3112</v>
      </c>
      <c r="G297" s="19" t="s">
        <v>3113</v>
      </c>
      <c r="H297" s="19" t="s">
        <v>3114</v>
      </c>
      <c r="I297" s="19" t="s">
        <v>3115</v>
      </c>
      <c r="J297" s="19" t="s">
        <v>3116</v>
      </c>
      <c r="K297" s="19" t="s">
        <v>3117</v>
      </c>
      <c r="L297" s="19" t="s">
        <v>3118</v>
      </c>
      <c r="M297" s="19" t="s">
        <v>35</v>
      </c>
      <c r="N297" s="19" t="s">
        <v>36</v>
      </c>
      <c r="O297" s="19" t="s">
        <v>37</v>
      </c>
      <c r="P297" s="19" t="s">
        <v>38</v>
      </c>
      <c r="Q297" s="19" t="str">
        <f t="shared" si="1"/>
        <v>HSK1-VOCAB-293</v>
      </c>
      <c r="R297" s="19" t="str">
        <f t="shared" si="2"/>
        <v>Chinese::HSK::HSK1::Vocabulary</v>
      </c>
      <c r="S297" s="21" t="s">
        <v>2123</v>
      </c>
      <c r="T297" s="4"/>
    </row>
    <row r="298" ht="30.0" customHeight="1">
      <c r="A298" s="34" t="s">
        <v>3119</v>
      </c>
      <c r="B298" s="35" t="s">
        <v>3120</v>
      </c>
      <c r="C298" s="35" t="s">
        <v>3121</v>
      </c>
      <c r="D298" s="35" t="s">
        <v>3122</v>
      </c>
      <c r="E298" s="19" t="s">
        <v>513</v>
      </c>
      <c r="F298" s="18" t="s">
        <v>3123</v>
      </c>
      <c r="G298" s="19" t="s">
        <v>3124</v>
      </c>
      <c r="H298" s="19" t="s">
        <v>3125</v>
      </c>
      <c r="I298" s="19" t="s">
        <v>3126</v>
      </c>
      <c r="J298" s="19" t="s">
        <v>3127</v>
      </c>
      <c r="K298" s="19" t="s">
        <v>3128</v>
      </c>
      <c r="L298" s="19" t="s">
        <v>3129</v>
      </c>
      <c r="M298" s="19" t="s">
        <v>35</v>
      </c>
      <c r="N298" s="19" t="s">
        <v>36</v>
      </c>
      <c r="O298" s="19" t="s">
        <v>37</v>
      </c>
      <c r="P298" s="19" t="s">
        <v>38</v>
      </c>
      <c r="Q298" s="19" t="str">
        <f t="shared" si="1"/>
        <v>HSK1-VOCAB-294</v>
      </c>
      <c r="R298" s="19" t="str">
        <f t="shared" si="2"/>
        <v>Chinese::HSK::HSK1::Vocabulary</v>
      </c>
      <c r="S298" s="21" t="s">
        <v>2123</v>
      </c>
      <c r="T298" s="4"/>
    </row>
    <row r="299" ht="30.0" customHeight="1">
      <c r="A299" s="34" t="s">
        <v>3130</v>
      </c>
      <c r="B299" s="35" t="s">
        <v>3131</v>
      </c>
      <c r="C299" s="35" t="s">
        <v>3132</v>
      </c>
      <c r="D299" s="35" t="s">
        <v>1717</v>
      </c>
      <c r="E299" s="19" t="s">
        <v>318</v>
      </c>
      <c r="F299" s="18" t="s">
        <v>3133</v>
      </c>
      <c r="G299" s="19" t="s">
        <v>3134</v>
      </c>
      <c r="H299" s="19" t="s">
        <v>3135</v>
      </c>
      <c r="I299" s="19" t="s">
        <v>3136</v>
      </c>
      <c r="J299" s="19" t="s">
        <v>3137</v>
      </c>
      <c r="K299" s="19" t="s">
        <v>3138</v>
      </c>
      <c r="L299" s="19" t="s">
        <v>3139</v>
      </c>
      <c r="M299" s="19" t="s">
        <v>35</v>
      </c>
      <c r="N299" s="19" t="s">
        <v>36</v>
      </c>
      <c r="O299" s="19" t="s">
        <v>37</v>
      </c>
      <c r="P299" s="19" t="s">
        <v>38</v>
      </c>
      <c r="Q299" s="19" t="str">
        <f t="shared" si="1"/>
        <v>HSK1-VOCAB-295</v>
      </c>
      <c r="R299" s="19" t="str">
        <f t="shared" si="2"/>
        <v>Chinese::HSK::HSK1::Vocabulary</v>
      </c>
      <c r="S299" s="21" t="s">
        <v>2123</v>
      </c>
      <c r="T299" s="4"/>
    </row>
    <row r="300" ht="30.0" customHeight="1">
      <c r="A300" s="34" t="s">
        <v>3140</v>
      </c>
      <c r="B300" s="35" t="s">
        <v>3141</v>
      </c>
      <c r="C300" s="35" t="s">
        <v>3142</v>
      </c>
      <c r="D300" s="35" t="s">
        <v>3143</v>
      </c>
      <c r="E300" s="19" t="s">
        <v>513</v>
      </c>
      <c r="F300" s="18" t="s">
        <v>3144</v>
      </c>
      <c r="G300" s="19" t="s">
        <v>3145</v>
      </c>
      <c r="H300" s="19" t="s">
        <v>3146</v>
      </c>
      <c r="I300" s="19" t="s">
        <v>3147</v>
      </c>
      <c r="J300" s="19" t="s">
        <v>3148</v>
      </c>
      <c r="K300" s="19" t="s">
        <v>3149</v>
      </c>
      <c r="L300" s="19" t="s">
        <v>3150</v>
      </c>
      <c r="M300" s="19" t="s">
        <v>35</v>
      </c>
      <c r="N300" s="19" t="s">
        <v>36</v>
      </c>
      <c r="O300" s="19" t="s">
        <v>37</v>
      </c>
      <c r="P300" s="19" t="s">
        <v>38</v>
      </c>
      <c r="Q300" s="19" t="str">
        <f t="shared" si="1"/>
        <v>HSK1-VOCAB-296</v>
      </c>
      <c r="R300" s="19" t="str">
        <f t="shared" si="2"/>
        <v>Chinese::HSK::HSK1::Vocabulary</v>
      </c>
      <c r="S300" s="21" t="s">
        <v>2240</v>
      </c>
      <c r="T300" s="4"/>
    </row>
    <row r="301" ht="30.0" customHeight="1">
      <c r="A301" s="34" t="s">
        <v>3151</v>
      </c>
      <c r="B301" s="35" t="s">
        <v>3152</v>
      </c>
      <c r="C301" s="35" t="s">
        <v>3153</v>
      </c>
      <c r="D301" s="35" t="s">
        <v>3154</v>
      </c>
      <c r="E301" s="19" t="s">
        <v>513</v>
      </c>
      <c r="F301" s="18" t="s">
        <v>3155</v>
      </c>
      <c r="G301" s="19" t="s">
        <v>3156</v>
      </c>
      <c r="H301" s="19" t="s">
        <v>3157</v>
      </c>
      <c r="I301" s="19" t="s">
        <v>3158</v>
      </c>
      <c r="J301" s="19" t="s">
        <v>3159</v>
      </c>
      <c r="K301" s="19" t="s">
        <v>3160</v>
      </c>
      <c r="L301" s="19" t="s">
        <v>3161</v>
      </c>
      <c r="M301" s="19" t="s">
        <v>35</v>
      </c>
      <c r="N301" s="19" t="s">
        <v>36</v>
      </c>
      <c r="O301" s="19" t="s">
        <v>37</v>
      </c>
      <c r="P301" s="19" t="s">
        <v>38</v>
      </c>
      <c r="Q301" s="19" t="str">
        <f t="shared" si="1"/>
        <v>HSK1-VOCAB-297</v>
      </c>
      <c r="R301" s="19" t="str">
        <f t="shared" si="2"/>
        <v>Chinese::HSK::HSK1::Vocabulary</v>
      </c>
      <c r="S301" s="21" t="s">
        <v>2123</v>
      </c>
      <c r="T301" s="4"/>
    </row>
    <row r="302" ht="30.0" customHeight="1">
      <c r="A302" s="34" t="s">
        <v>3162</v>
      </c>
      <c r="B302" s="35" t="s">
        <v>3163</v>
      </c>
      <c r="C302" s="35" t="s">
        <v>3164</v>
      </c>
      <c r="D302" s="35" t="s">
        <v>3165</v>
      </c>
      <c r="E302" s="19" t="s">
        <v>513</v>
      </c>
      <c r="F302" s="18" t="s">
        <v>3166</v>
      </c>
      <c r="G302" s="19" t="s">
        <v>3167</v>
      </c>
      <c r="H302" s="19" t="s">
        <v>3168</v>
      </c>
      <c r="I302" s="19" t="s">
        <v>3169</v>
      </c>
      <c r="J302" s="19" t="s">
        <v>3170</v>
      </c>
      <c r="K302" s="19" t="s">
        <v>3171</v>
      </c>
      <c r="L302" s="19" t="s">
        <v>3172</v>
      </c>
      <c r="M302" s="19" t="s">
        <v>35</v>
      </c>
      <c r="N302" s="19" t="s">
        <v>36</v>
      </c>
      <c r="O302" s="19" t="s">
        <v>37</v>
      </c>
      <c r="P302" s="19" t="s">
        <v>38</v>
      </c>
      <c r="Q302" s="19" t="str">
        <f t="shared" si="1"/>
        <v>HSK1-VOCAB-298</v>
      </c>
      <c r="R302" s="19" t="str">
        <f t="shared" si="2"/>
        <v>Chinese::HSK::HSK1::Vocabulary</v>
      </c>
      <c r="S302" s="21" t="s">
        <v>2240</v>
      </c>
      <c r="T302" s="4"/>
    </row>
    <row r="303" ht="30.0" customHeight="1">
      <c r="A303" s="34" t="s">
        <v>3173</v>
      </c>
      <c r="B303" s="35" t="s">
        <v>3174</v>
      </c>
      <c r="C303" s="35" t="s">
        <v>3175</v>
      </c>
      <c r="D303" s="35" t="s">
        <v>3176</v>
      </c>
      <c r="E303" s="19" t="s">
        <v>27</v>
      </c>
      <c r="F303" s="18" t="s">
        <v>3177</v>
      </c>
      <c r="G303" s="19" t="s">
        <v>3178</v>
      </c>
      <c r="H303" s="19" t="s">
        <v>3179</v>
      </c>
      <c r="I303" s="19" t="s">
        <v>3180</v>
      </c>
      <c r="J303" s="19" t="s">
        <v>3181</v>
      </c>
      <c r="K303" s="19" t="s">
        <v>3182</v>
      </c>
      <c r="L303" s="19" t="s">
        <v>3183</v>
      </c>
      <c r="M303" s="19" t="s">
        <v>35</v>
      </c>
      <c r="N303" s="19" t="s">
        <v>36</v>
      </c>
      <c r="O303" s="19" t="s">
        <v>37</v>
      </c>
      <c r="P303" s="19" t="s">
        <v>38</v>
      </c>
      <c r="Q303" s="19" t="str">
        <f t="shared" si="1"/>
        <v>HSK1-VOCAB-299</v>
      </c>
      <c r="R303" s="19" t="str">
        <f t="shared" si="2"/>
        <v>Chinese::HSK::HSK1::Vocabulary</v>
      </c>
      <c r="S303" s="21" t="s">
        <v>2123</v>
      </c>
      <c r="T303" s="4"/>
    </row>
    <row r="304" ht="30.0" customHeight="1">
      <c r="A304" s="34" t="s">
        <v>3184</v>
      </c>
      <c r="B304" s="35" t="s">
        <v>3185</v>
      </c>
      <c r="C304" s="35" t="s">
        <v>3186</v>
      </c>
      <c r="D304" s="35" t="s">
        <v>3187</v>
      </c>
      <c r="E304" s="19" t="s">
        <v>27</v>
      </c>
      <c r="F304" s="18" t="s">
        <v>3188</v>
      </c>
      <c r="G304" s="19" t="s">
        <v>3189</v>
      </c>
      <c r="H304" s="19" t="s">
        <v>3190</v>
      </c>
      <c r="I304" s="19" t="s">
        <v>3191</v>
      </c>
      <c r="J304" s="19" t="s">
        <v>3192</v>
      </c>
      <c r="K304" s="19" t="s">
        <v>3193</v>
      </c>
      <c r="L304" s="19" t="s">
        <v>3194</v>
      </c>
      <c r="M304" s="19" t="s">
        <v>35</v>
      </c>
      <c r="N304" s="19" t="s">
        <v>36</v>
      </c>
      <c r="O304" s="19" t="s">
        <v>37</v>
      </c>
      <c r="P304" s="19" t="s">
        <v>38</v>
      </c>
      <c r="Q304" s="19" t="str">
        <f t="shared" si="1"/>
        <v>HSK1-VOCAB-300</v>
      </c>
      <c r="R304" s="19" t="str">
        <f t="shared" si="2"/>
        <v>Chinese::HSK::HSK1::Vocabulary</v>
      </c>
      <c r="S304" s="21" t="s">
        <v>2123</v>
      </c>
      <c r="T304" s="4"/>
    </row>
    <row r="305" ht="30.0" customHeight="1">
      <c r="A305" s="34" t="s">
        <v>3195</v>
      </c>
      <c r="B305" s="35" t="s">
        <v>3196</v>
      </c>
      <c r="C305" s="35" t="s">
        <v>3197</v>
      </c>
      <c r="D305" s="35" t="s">
        <v>3198</v>
      </c>
      <c r="E305" s="19" t="s">
        <v>27</v>
      </c>
      <c r="F305" s="18" t="s">
        <v>3199</v>
      </c>
      <c r="G305" s="19" t="s">
        <v>3200</v>
      </c>
      <c r="H305" s="19" t="s">
        <v>3201</v>
      </c>
      <c r="I305" s="19" t="s">
        <v>3202</v>
      </c>
      <c r="J305" s="19" t="s">
        <v>3203</v>
      </c>
      <c r="K305" s="19" t="s">
        <v>3204</v>
      </c>
      <c r="L305" s="19" t="s">
        <v>3205</v>
      </c>
      <c r="M305" s="19" t="s">
        <v>35</v>
      </c>
      <c r="N305" s="19" t="s">
        <v>36</v>
      </c>
      <c r="O305" s="19" t="s">
        <v>37</v>
      </c>
      <c r="P305" s="19" t="s">
        <v>38</v>
      </c>
      <c r="Q305" s="19" t="str">
        <f t="shared" si="1"/>
        <v>HSK1-VOCAB-301</v>
      </c>
      <c r="R305" s="19" t="str">
        <f t="shared" si="2"/>
        <v>Chinese::HSK::HSK1::Vocabulary</v>
      </c>
      <c r="S305" s="21" t="s">
        <v>2123</v>
      </c>
      <c r="T305" s="4"/>
    </row>
    <row r="306" ht="30.0" customHeight="1">
      <c r="A306" s="34" t="s">
        <v>3206</v>
      </c>
      <c r="B306" s="35" t="s">
        <v>3207</v>
      </c>
      <c r="C306" s="35" t="s">
        <v>3208</v>
      </c>
      <c r="D306" s="35" t="s">
        <v>3209</v>
      </c>
      <c r="E306" s="19" t="s">
        <v>27</v>
      </c>
      <c r="F306" s="18" t="s">
        <v>3210</v>
      </c>
      <c r="G306" s="19" t="s">
        <v>3211</v>
      </c>
      <c r="H306" s="19" t="s">
        <v>3212</v>
      </c>
      <c r="I306" s="19" t="s">
        <v>3213</v>
      </c>
      <c r="J306" s="19" t="s">
        <v>3214</v>
      </c>
      <c r="K306" s="19" t="s">
        <v>3215</v>
      </c>
      <c r="L306" s="19" t="s">
        <v>3216</v>
      </c>
      <c r="M306" s="19" t="s">
        <v>35</v>
      </c>
      <c r="N306" s="19" t="s">
        <v>36</v>
      </c>
      <c r="O306" s="19" t="s">
        <v>37</v>
      </c>
      <c r="P306" s="19" t="s">
        <v>38</v>
      </c>
      <c r="Q306" s="19" t="str">
        <f t="shared" si="1"/>
        <v>HSK1-VOCAB-302</v>
      </c>
      <c r="R306" s="19" t="str">
        <f t="shared" si="2"/>
        <v>Chinese::HSK::HSK1::Vocabulary</v>
      </c>
      <c r="S306" s="21" t="s">
        <v>2123</v>
      </c>
      <c r="T306" s="4"/>
    </row>
    <row r="307" ht="30.0" customHeight="1">
      <c r="A307" s="34" t="s">
        <v>3217</v>
      </c>
      <c r="B307" s="35" t="s">
        <v>3218</v>
      </c>
      <c r="C307" s="35" t="s">
        <v>3219</v>
      </c>
      <c r="D307" s="35" t="s">
        <v>3220</v>
      </c>
      <c r="E307" s="19" t="s">
        <v>27</v>
      </c>
      <c r="F307" s="18" t="s">
        <v>3221</v>
      </c>
      <c r="G307" s="19" t="s">
        <v>3222</v>
      </c>
      <c r="H307" s="19" t="s">
        <v>3223</v>
      </c>
      <c r="I307" s="19" t="s">
        <v>3224</v>
      </c>
      <c r="J307" s="19" t="s">
        <v>3225</v>
      </c>
      <c r="K307" s="19" t="s">
        <v>3226</v>
      </c>
      <c r="L307" s="19" t="s">
        <v>3227</v>
      </c>
      <c r="M307" s="19" t="s">
        <v>35</v>
      </c>
      <c r="N307" s="19" t="s">
        <v>36</v>
      </c>
      <c r="O307" s="19" t="s">
        <v>37</v>
      </c>
      <c r="P307" s="19" t="s">
        <v>38</v>
      </c>
      <c r="Q307" s="19" t="str">
        <f t="shared" si="1"/>
        <v>HSK1-VOCAB-303</v>
      </c>
      <c r="R307" s="19" t="str">
        <f t="shared" si="2"/>
        <v>Chinese::HSK::HSK1::Vocabulary</v>
      </c>
      <c r="S307" s="21" t="s">
        <v>2123</v>
      </c>
      <c r="T307" s="4"/>
    </row>
    <row r="308" ht="30.0" customHeight="1">
      <c r="A308" s="34" t="s">
        <v>3228</v>
      </c>
      <c r="B308" s="35" t="s">
        <v>3229</v>
      </c>
      <c r="C308" s="35" t="s">
        <v>3230</v>
      </c>
      <c r="D308" s="35" t="s">
        <v>3231</v>
      </c>
      <c r="E308" s="19" t="s">
        <v>513</v>
      </c>
      <c r="F308" s="18" t="s">
        <v>3232</v>
      </c>
      <c r="G308" s="19" t="s">
        <v>3233</v>
      </c>
      <c r="H308" s="19" t="s">
        <v>3234</v>
      </c>
      <c r="I308" s="19" t="s">
        <v>3235</v>
      </c>
      <c r="J308" s="19" t="s">
        <v>3236</v>
      </c>
      <c r="K308" s="19" t="s">
        <v>3237</v>
      </c>
      <c r="L308" s="19" t="s">
        <v>3238</v>
      </c>
      <c r="M308" s="19" t="s">
        <v>35</v>
      </c>
      <c r="N308" s="19" t="s">
        <v>36</v>
      </c>
      <c r="O308" s="19" t="s">
        <v>37</v>
      </c>
      <c r="P308" s="19" t="s">
        <v>38</v>
      </c>
      <c r="Q308" s="19" t="str">
        <f t="shared" si="1"/>
        <v>HSK1-VOCAB-304</v>
      </c>
      <c r="R308" s="19" t="str">
        <f t="shared" si="2"/>
        <v>Chinese::HSK::HSK1::Vocabulary</v>
      </c>
      <c r="S308" s="21" t="s">
        <v>2123</v>
      </c>
      <c r="T308" s="4"/>
    </row>
    <row r="309" ht="30.0" customHeight="1">
      <c r="A309" s="34" t="s">
        <v>3239</v>
      </c>
      <c r="B309" s="35" t="s">
        <v>3240</v>
      </c>
      <c r="C309" s="35" t="s">
        <v>3241</v>
      </c>
      <c r="D309" s="35" t="s">
        <v>3242</v>
      </c>
      <c r="E309" s="19" t="s">
        <v>240</v>
      </c>
      <c r="F309" s="18" t="s">
        <v>3243</v>
      </c>
      <c r="G309" s="19" t="s">
        <v>3244</v>
      </c>
      <c r="H309" s="19" t="s">
        <v>3245</v>
      </c>
      <c r="I309" s="19" t="s">
        <v>3246</v>
      </c>
      <c r="J309" s="19" t="s">
        <v>3247</v>
      </c>
      <c r="K309" s="19" t="s">
        <v>3248</v>
      </c>
      <c r="L309" s="19" t="s">
        <v>3249</v>
      </c>
      <c r="M309" s="19" t="s">
        <v>35</v>
      </c>
      <c r="N309" s="19" t="s">
        <v>36</v>
      </c>
      <c r="O309" s="19" t="s">
        <v>37</v>
      </c>
      <c r="P309" s="19" t="s">
        <v>38</v>
      </c>
      <c r="Q309" s="19" t="str">
        <f t="shared" si="1"/>
        <v>HSK1-VOCAB-305</v>
      </c>
      <c r="R309" s="19" t="str">
        <f t="shared" si="2"/>
        <v>Chinese::HSK::HSK1::Vocabulary</v>
      </c>
      <c r="S309" s="21" t="s">
        <v>2123</v>
      </c>
      <c r="T309" s="4"/>
    </row>
    <row r="310" ht="30.0" customHeight="1">
      <c r="A310" s="34" t="s">
        <v>3250</v>
      </c>
      <c r="B310" s="35" t="s">
        <v>3251</v>
      </c>
      <c r="C310" s="35" t="s">
        <v>2981</v>
      </c>
      <c r="D310" s="35" t="s">
        <v>2982</v>
      </c>
      <c r="E310" s="19" t="s">
        <v>27</v>
      </c>
      <c r="F310" s="18" t="s">
        <v>3252</v>
      </c>
      <c r="G310" s="19" t="s">
        <v>3253</v>
      </c>
      <c r="H310" s="19" t="s">
        <v>3254</v>
      </c>
      <c r="I310" s="19" t="s">
        <v>3255</v>
      </c>
      <c r="J310" s="19" t="s">
        <v>3256</v>
      </c>
      <c r="K310" s="19" t="s">
        <v>3257</v>
      </c>
      <c r="L310" s="19" t="s">
        <v>3258</v>
      </c>
      <c r="M310" s="19" t="s">
        <v>35</v>
      </c>
      <c r="N310" s="19" t="s">
        <v>36</v>
      </c>
      <c r="O310" s="19" t="s">
        <v>37</v>
      </c>
      <c r="P310" s="19" t="s">
        <v>38</v>
      </c>
      <c r="Q310" s="19" t="str">
        <f t="shared" si="1"/>
        <v>HSK1-VOCAB-306</v>
      </c>
      <c r="R310" s="19" t="str">
        <f t="shared" si="2"/>
        <v>Chinese::HSK::HSK1::Vocabulary</v>
      </c>
      <c r="S310" s="21" t="s">
        <v>2123</v>
      </c>
      <c r="T310" s="4"/>
    </row>
    <row r="311" ht="30.0" customHeight="1">
      <c r="A311" s="34" t="s">
        <v>3259</v>
      </c>
      <c r="B311" s="35" t="s">
        <v>3260</v>
      </c>
      <c r="C311" s="35" t="s">
        <v>3261</v>
      </c>
      <c r="D311" s="35" t="s">
        <v>3262</v>
      </c>
      <c r="E311" s="19" t="s">
        <v>27</v>
      </c>
      <c r="F311" s="18" t="s">
        <v>3263</v>
      </c>
      <c r="G311" s="19" t="s">
        <v>3264</v>
      </c>
      <c r="H311" s="19" t="s">
        <v>3265</v>
      </c>
      <c r="I311" s="19" t="s">
        <v>3266</v>
      </c>
      <c r="J311" s="19" t="s">
        <v>3267</v>
      </c>
      <c r="K311" s="19" t="s">
        <v>3268</v>
      </c>
      <c r="L311" s="19" t="s">
        <v>3269</v>
      </c>
      <c r="M311" s="19" t="s">
        <v>35</v>
      </c>
      <c r="N311" s="19" t="s">
        <v>36</v>
      </c>
      <c r="O311" s="19" t="s">
        <v>37</v>
      </c>
      <c r="P311" s="19" t="s">
        <v>38</v>
      </c>
      <c r="Q311" s="19" t="str">
        <f t="shared" si="1"/>
        <v>HSK1-VOCAB-307</v>
      </c>
      <c r="R311" s="19" t="str">
        <f t="shared" si="2"/>
        <v>Chinese::HSK::HSK1::Vocabulary</v>
      </c>
      <c r="S311" s="21" t="s">
        <v>2123</v>
      </c>
      <c r="T311" s="4"/>
    </row>
    <row r="312" ht="30.0" customHeight="1">
      <c r="A312" s="34" t="s">
        <v>3270</v>
      </c>
      <c r="B312" s="35" t="s">
        <v>3271</v>
      </c>
      <c r="C312" s="35" t="s">
        <v>3272</v>
      </c>
      <c r="D312" s="35" t="s">
        <v>3273</v>
      </c>
      <c r="E312" s="19" t="s">
        <v>513</v>
      </c>
      <c r="F312" s="18" t="s">
        <v>3274</v>
      </c>
      <c r="G312" s="19" t="s">
        <v>3275</v>
      </c>
      <c r="H312" s="19" t="s">
        <v>3276</v>
      </c>
      <c r="I312" s="19" t="s">
        <v>3277</v>
      </c>
      <c r="J312" s="19" t="s">
        <v>3278</v>
      </c>
      <c r="K312" s="19" t="s">
        <v>3279</v>
      </c>
      <c r="L312" s="19" t="s">
        <v>3280</v>
      </c>
      <c r="M312" s="19" t="s">
        <v>35</v>
      </c>
      <c r="N312" s="19" t="s">
        <v>36</v>
      </c>
      <c r="O312" s="19" t="s">
        <v>37</v>
      </c>
      <c r="P312" s="19" t="s">
        <v>38</v>
      </c>
      <c r="Q312" s="19" t="str">
        <f t="shared" si="1"/>
        <v>HSK1-VOCAB-308</v>
      </c>
      <c r="R312" s="19" t="str">
        <f t="shared" si="2"/>
        <v>Chinese::HSK::HSK1::Vocabulary</v>
      </c>
      <c r="S312" s="21" t="s">
        <v>2123</v>
      </c>
      <c r="T312" s="4"/>
    </row>
    <row r="313" ht="30.0" customHeight="1">
      <c r="A313" s="34" t="s">
        <v>3281</v>
      </c>
      <c r="B313" s="35" t="s">
        <v>3282</v>
      </c>
      <c r="C313" s="35" t="s">
        <v>3283</v>
      </c>
      <c r="D313" s="35" t="s">
        <v>3284</v>
      </c>
      <c r="E313" s="19" t="s">
        <v>318</v>
      </c>
      <c r="F313" s="22" t="s">
        <v>3285</v>
      </c>
      <c r="G313" s="23" t="s">
        <v>3286</v>
      </c>
      <c r="H313" s="23" t="s">
        <v>3287</v>
      </c>
      <c r="I313" s="23" t="s">
        <v>3288</v>
      </c>
      <c r="J313" s="23" t="s">
        <v>3289</v>
      </c>
      <c r="K313" s="23" t="s">
        <v>3290</v>
      </c>
      <c r="L313" s="23" t="s">
        <v>3291</v>
      </c>
      <c r="M313" s="23" t="s">
        <v>35</v>
      </c>
      <c r="N313" s="23" t="s">
        <v>36</v>
      </c>
      <c r="O313" s="23" t="s">
        <v>37</v>
      </c>
      <c r="P313" s="23" t="s">
        <v>38</v>
      </c>
      <c r="Q313" s="19" t="str">
        <f t="shared" si="1"/>
        <v>HSK1-VOCAB-309</v>
      </c>
      <c r="R313" s="19" t="str">
        <f t="shared" si="2"/>
        <v>Chinese::HSK::HSK1::Vocabulary</v>
      </c>
      <c r="S313" s="21" t="s">
        <v>2123</v>
      </c>
      <c r="T313" s="32"/>
    </row>
    <row r="314" ht="30.0" customHeight="1">
      <c r="A314" s="34" t="s">
        <v>3292</v>
      </c>
      <c r="B314" s="35" t="s">
        <v>3293</v>
      </c>
      <c r="C314" s="35" t="s">
        <v>3294</v>
      </c>
      <c r="D314" s="35" t="s">
        <v>1141</v>
      </c>
      <c r="E314" s="19" t="s">
        <v>27</v>
      </c>
      <c r="F314" s="18" t="s">
        <v>3295</v>
      </c>
      <c r="G314" s="19" t="s">
        <v>3296</v>
      </c>
      <c r="H314" s="19" t="s">
        <v>3297</v>
      </c>
      <c r="I314" s="19" t="s">
        <v>1145</v>
      </c>
      <c r="J314" s="19" t="s">
        <v>1146</v>
      </c>
      <c r="K314" s="19" t="s">
        <v>1147</v>
      </c>
      <c r="L314" s="19" t="s">
        <v>3298</v>
      </c>
      <c r="M314" s="19" t="s">
        <v>35</v>
      </c>
      <c r="N314" s="19" t="s">
        <v>36</v>
      </c>
      <c r="O314" s="19" t="s">
        <v>37</v>
      </c>
      <c r="P314" s="19" t="s">
        <v>38</v>
      </c>
      <c r="Q314" s="19" t="str">
        <f t="shared" si="1"/>
        <v>HSK1-VOCAB-310</v>
      </c>
      <c r="R314" s="19" t="str">
        <f t="shared" si="2"/>
        <v>Chinese::HSK::HSK1::Vocabulary</v>
      </c>
      <c r="S314" s="21" t="s">
        <v>2123</v>
      </c>
      <c r="T314" s="4"/>
    </row>
    <row r="315" ht="30.0" customHeight="1">
      <c r="A315" s="34" t="s">
        <v>3299</v>
      </c>
      <c r="B315" s="35" t="s">
        <v>3300</v>
      </c>
      <c r="C315" s="35" t="s">
        <v>3301</v>
      </c>
      <c r="D315" s="35" t="s">
        <v>2587</v>
      </c>
      <c r="E315" s="19" t="s">
        <v>27</v>
      </c>
      <c r="F315" s="18" t="s">
        <v>3302</v>
      </c>
      <c r="G315" s="19" t="s">
        <v>3303</v>
      </c>
      <c r="H315" s="19" t="s">
        <v>3304</v>
      </c>
      <c r="I315" s="19" t="s">
        <v>3305</v>
      </c>
      <c r="J315" s="19" t="s">
        <v>3306</v>
      </c>
      <c r="K315" s="19" t="s">
        <v>3307</v>
      </c>
      <c r="L315" s="19" t="s">
        <v>3298</v>
      </c>
      <c r="M315" s="19" t="s">
        <v>35</v>
      </c>
      <c r="N315" s="19" t="s">
        <v>36</v>
      </c>
      <c r="O315" s="19" t="s">
        <v>37</v>
      </c>
      <c r="P315" s="19" t="s">
        <v>38</v>
      </c>
      <c r="Q315" s="19" t="str">
        <f t="shared" si="1"/>
        <v>HSK1-VOCAB-311</v>
      </c>
      <c r="R315" s="19" t="str">
        <f t="shared" si="2"/>
        <v>Chinese::HSK::HSK1::Vocabulary</v>
      </c>
      <c r="S315" s="21" t="s">
        <v>2123</v>
      </c>
      <c r="T315" s="4"/>
    </row>
    <row r="316" ht="30.0" customHeight="1">
      <c r="A316" s="34" t="s">
        <v>3308</v>
      </c>
      <c r="B316" s="35" t="s">
        <v>3309</v>
      </c>
      <c r="C316" s="35" t="s">
        <v>3310</v>
      </c>
      <c r="D316" s="35" t="s">
        <v>3311</v>
      </c>
      <c r="E316" s="19" t="s">
        <v>318</v>
      </c>
      <c r="F316" s="18" t="s">
        <v>3312</v>
      </c>
      <c r="G316" s="19" t="s">
        <v>3313</v>
      </c>
      <c r="H316" s="19" t="s">
        <v>3314</v>
      </c>
      <c r="I316" s="19" t="s">
        <v>3315</v>
      </c>
      <c r="J316" s="19" t="s">
        <v>3316</v>
      </c>
      <c r="K316" s="19" t="s">
        <v>3317</v>
      </c>
      <c r="L316" s="19" t="s">
        <v>3318</v>
      </c>
      <c r="M316" s="19" t="s">
        <v>35</v>
      </c>
      <c r="N316" s="19" t="s">
        <v>36</v>
      </c>
      <c r="O316" s="19" t="s">
        <v>37</v>
      </c>
      <c r="P316" s="19" t="s">
        <v>38</v>
      </c>
      <c r="Q316" s="19" t="str">
        <f t="shared" si="1"/>
        <v>HSK1-VOCAB-312</v>
      </c>
      <c r="R316" s="19" t="str">
        <f t="shared" si="2"/>
        <v>Chinese::HSK::HSK1::Vocabulary</v>
      </c>
      <c r="S316" s="21" t="s">
        <v>2123</v>
      </c>
      <c r="T316" s="4"/>
    </row>
    <row r="317" ht="30.0" customHeight="1">
      <c r="A317" s="34" t="s">
        <v>3319</v>
      </c>
      <c r="B317" s="35" t="s">
        <v>3320</v>
      </c>
      <c r="C317" s="35" t="s">
        <v>1086</v>
      </c>
      <c r="D317" s="35" t="s">
        <v>1087</v>
      </c>
      <c r="E317" s="19" t="s">
        <v>27</v>
      </c>
      <c r="F317" s="18" t="s">
        <v>3321</v>
      </c>
      <c r="G317" s="19" t="s">
        <v>3322</v>
      </c>
      <c r="H317" s="19" t="s">
        <v>3323</v>
      </c>
      <c r="I317" s="19" t="s">
        <v>3324</v>
      </c>
      <c r="J317" s="19" t="s">
        <v>3325</v>
      </c>
      <c r="K317" s="19" t="s">
        <v>3326</v>
      </c>
      <c r="L317" s="19" t="s">
        <v>3327</v>
      </c>
      <c r="M317" s="19" t="s">
        <v>35</v>
      </c>
      <c r="N317" s="19" t="s">
        <v>36</v>
      </c>
      <c r="O317" s="19" t="s">
        <v>37</v>
      </c>
      <c r="P317" s="19" t="s">
        <v>38</v>
      </c>
      <c r="Q317" s="19" t="str">
        <f t="shared" si="1"/>
        <v>HSK1-VOCAB-313</v>
      </c>
      <c r="R317" s="19" t="str">
        <f t="shared" si="2"/>
        <v>Chinese::HSK::HSK1::Vocabulary</v>
      </c>
      <c r="S317" s="21" t="s">
        <v>2123</v>
      </c>
      <c r="T317" s="4"/>
    </row>
    <row r="318" ht="30.0" customHeight="1">
      <c r="A318" s="34" t="s">
        <v>3328</v>
      </c>
      <c r="B318" s="35" t="s">
        <v>3329</v>
      </c>
      <c r="C318" s="35" t="s">
        <v>3330</v>
      </c>
      <c r="D318" s="35" t="s">
        <v>3331</v>
      </c>
      <c r="E318" s="19" t="s">
        <v>27</v>
      </c>
      <c r="F318" s="18" t="s">
        <v>3332</v>
      </c>
      <c r="G318" s="19" t="s">
        <v>3333</v>
      </c>
      <c r="H318" s="19" t="s">
        <v>3334</v>
      </c>
      <c r="I318" s="19" t="s">
        <v>3335</v>
      </c>
      <c r="J318" s="19" t="s">
        <v>3336</v>
      </c>
      <c r="K318" s="19" t="s">
        <v>3337</v>
      </c>
      <c r="L318" s="19" t="s">
        <v>3338</v>
      </c>
      <c r="M318" s="19" t="s">
        <v>35</v>
      </c>
      <c r="N318" s="19" t="s">
        <v>36</v>
      </c>
      <c r="O318" s="19" t="s">
        <v>37</v>
      </c>
      <c r="P318" s="19" t="s">
        <v>38</v>
      </c>
      <c r="Q318" s="19" t="str">
        <f t="shared" si="1"/>
        <v>HSK1-VOCAB-314</v>
      </c>
      <c r="R318" s="19" t="str">
        <f t="shared" si="2"/>
        <v>Chinese::HSK::HSK1::Vocabulary</v>
      </c>
      <c r="S318" s="21" t="s">
        <v>2240</v>
      </c>
      <c r="T318" s="4"/>
    </row>
    <row r="319" ht="30.0" customHeight="1">
      <c r="A319" s="34" t="s">
        <v>3339</v>
      </c>
      <c r="B319" s="35" t="s">
        <v>3340</v>
      </c>
      <c r="C319" s="35" t="s">
        <v>3341</v>
      </c>
      <c r="D319" s="35" t="s">
        <v>3342</v>
      </c>
      <c r="E319" s="19" t="s">
        <v>27</v>
      </c>
      <c r="F319" s="18" t="s">
        <v>3343</v>
      </c>
      <c r="G319" s="19" t="s">
        <v>3344</v>
      </c>
      <c r="H319" s="19" t="s">
        <v>3345</v>
      </c>
      <c r="I319" s="19" t="s">
        <v>3346</v>
      </c>
      <c r="J319" s="19" t="s">
        <v>3347</v>
      </c>
      <c r="K319" s="19" t="s">
        <v>3348</v>
      </c>
      <c r="L319" s="19" t="s">
        <v>1647</v>
      </c>
      <c r="M319" s="19" t="s">
        <v>35</v>
      </c>
      <c r="N319" s="19" t="s">
        <v>36</v>
      </c>
      <c r="O319" s="19" t="s">
        <v>37</v>
      </c>
      <c r="P319" s="19" t="s">
        <v>38</v>
      </c>
      <c r="Q319" s="19" t="str">
        <f t="shared" si="1"/>
        <v>HSK1-VOCAB-315</v>
      </c>
      <c r="R319" s="19" t="str">
        <f t="shared" si="2"/>
        <v>Chinese::HSK::HSK1::Vocabulary</v>
      </c>
      <c r="S319" s="21" t="s">
        <v>2123</v>
      </c>
      <c r="T319" s="4"/>
    </row>
    <row r="320" ht="30.0" customHeight="1">
      <c r="A320" s="34" t="s">
        <v>3349</v>
      </c>
      <c r="B320" s="35" t="s">
        <v>3350</v>
      </c>
      <c r="C320" s="35" t="s">
        <v>3351</v>
      </c>
      <c r="D320" s="35" t="s">
        <v>3352</v>
      </c>
      <c r="E320" s="19" t="s">
        <v>27</v>
      </c>
      <c r="F320" s="18" t="s">
        <v>3353</v>
      </c>
      <c r="G320" s="19" t="s">
        <v>3354</v>
      </c>
      <c r="H320" s="19" t="s">
        <v>3355</v>
      </c>
      <c r="I320" s="19" t="s">
        <v>3356</v>
      </c>
      <c r="J320" s="19" t="s">
        <v>3357</v>
      </c>
      <c r="K320" s="19" t="s">
        <v>3358</v>
      </c>
      <c r="L320" s="19" t="s">
        <v>3359</v>
      </c>
      <c r="M320" s="19" t="s">
        <v>35</v>
      </c>
      <c r="N320" s="19" t="s">
        <v>36</v>
      </c>
      <c r="O320" s="19" t="s">
        <v>37</v>
      </c>
      <c r="P320" s="19" t="s">
        <v>38</v>
      </c>
      <c r="Q320" s="19" t="str">
        <f t="shared" si="1"/>
        <v>HSK1-VOCAB-316</v>
      </c>
      <c r="R320" s="19" t="str">
        <f t="shared" si="2"/>
        <v>Chinese::HSK::HSK1::Vocabulary</v>
      </c>
      <c r="S320" s="21" t="s">
        <v>2240</v>
      </c>
      <c r="T320" s="4"/>
    </row>
    <row r="321" ht="30.0" customHeight="1">
      <c r="A321" s="34" t="s">
        <v>3360</v>
      </c>
      <c r="B321" s="35" t="s">
        <v>3361</v>
      </c>
      <c r="C321" s="35" t="s">
        <v>3362</v>
      </c>
      <c r="D321" s="35" t="s">
        <v>3363</v>
      </c>
      <c r="E321" s="19" t="s">
        <v>27</v>
      </c>
      <c r="F321" s="18" t="s">
        <v>3364</v>
      </c>
      <c r="G321" s="19" t="s">
        <v>3365</v>
      </c>
      <c r="H321" s="19" t="s">
        <v>3366</v>
      </c>
      <c r="I321" s="19" t="s">
        <v>3367</v>
      </c>
      <c r="J321" s="19" t="s">
        <v>3368</v>
      </c>
      <c r="K321" s="19" t="s">
        <v>3369</v>
      </c>
      <c r="L321" s="19" t="s">
        <v>3370</v>
      </c>
      <c r="M321" s="19" t="s">
        <v>35</v>
      </c>
      <c r="N321" s="19" t="s">
        <v>36</v>
      </c>
      <c r="O321" s="19" t="s">
        <v>37</v>
      </c>
      <c r="P321" s="19" t="s">
        <v>38</v>
      </c>
      <c r="Q321" s="19" t="str">
        <f t="shared" si="1"/>
        <v>HSK1-VOCAB-317</v>
      </c>
      <c r="R321" s="19" t="str">
        <f t="shared" si="2"/>
        <v>Chinese::HSK::HSK1::Vocabulary</v>
      </c>
      <c r="S321" s="21" t="s">
        <v>2123</v>
      </c>
      <c r="T321" s="4"/>
    </row>
    <row r="322" ht="30.0" customHeight="1">
      <c r="A322" s="34" t="s">
        <v>3371</v>
      </c>
      <c r="B322" s="35" t="s">
        <v>3372</v>
      </c>
      <c r="C322" s="35" t="s">
        <v>3373</v>
      </c>
      <c r="D322" s="35" t="s">
        <v>3374</v>
      </c>
      <c r="E322" s="19" t="s">
        <v>727</v>
      </c>
      <c r="F322" s="18" t="s">
        <v>3375</v>
      </c>
      <c r="G322" s="19" t="s">
        <v>3376</v>
      </c>
      <c r="H322" s="19" t="s">
        <v>3377</v>
      </c>
      <c r="I322" s="19" t="s">
        <v>3378</v>
      </c>
      <c r="J322" s="19" t="s">
        <v>3379</v>
      </c>
      <c r="K322" s="19" t="s">
        <v>3380</v>
      </c>
      <c r="L322" s="19" t="s">
        <v>3381</v>
      </c>
      <c r="M322" s="19" t="s">
        <v>35</v>
      </c>
      <c r="N322" s="19" t="s">
        <v>36</v>
      </c>
      <c r="O322" s="19" t="s">
        <v>37</v>
      </c>
      <c r="P322" s="19" t="s">
        <v>38</v>
      </c>
      <c r="Q322" s="19" t="str">
        <f t="shared" si="1"/>
        <v>HSK1-VOCAB-318</v>
      </c>
      <c r="R322" s="19" t="str">
        <f t="shared" si="2"/>
        <v>Chinese::HSK::HSK1::Vocabulary</v>
      </c>
      <c r="S322" s="21" t="s">
        <v>2123</v>
      </c>
      <c r="T322" s="4"/>
    </row>
    <row r="323" ht="30.0" customHeight="1">
      <c r="A323" s="34" t="s">
        <v>3382</v>
      </c>
      <c r="B323" s="35" t="s">
        <v>2950</v>
      </c>
      <c r="C323" s="35" t="s">
        <v>3383</v>
      </c>
      <c r="D323" s="35" t="s">
        <v>3384</v>
      </c>
      <c r="E323" s="19" t="s">
        <v>513</v>
      </c>
      <c r="F323" s="18" t="s">
        <v>3385</v>
      </c>
      <c r="G323" s="19" t="s">
        <v>3386</v>
      </c>
      <c r="H323" s="19" t="s">
        <v>3387</v>
      </c>
      <c r="I323" s="19" t="s">
        <v>3388</v>
      </c>
      <c r="J323" s="19" t="s">
        <v>3389</v>
      </c>
      <c r="K323" s="19" t="s">
        <v>3390</v>
      </c>
      <c r="L323" s="19" t="s">
        <v>3391</v>
      </c>
      <c r="M323" s="19" t="s">
        <v>35</v>
      </c>
      <c r="N323" s="19" t="s">
        <v>36</v>
      </c>
      <c r="O323" s="19" t="s">
        <v>37</v>
      </c>
      <c r="P323" s="19" t="s">
        <v>38</v>
      </c>
      <c r="Q323" s="19" t="str">
        <f t="shared" si="1"/>
        <v>HSK1-VOCAB-319</v>
      </c>
      <c r="R323" s="19" t="str">
        <f t="shared" si="2"/>
        <v>Chinese::HSK::HSK1::Vocabulary</v>
      </c>
      <c r="S323" s="21" t="s">
        <v>2123</v>
      </c>
      <c r="T323" s="4"/>
    </row>
    <row r="324" ht="30.0" customHeight="1">
      <c r="A324" s="34" t="s">
        <v>3392</v>
      </c>
      <c r="B324" s="35" t="s">
        <v>3393</v>
      </c>
      <c r="C324" s="35" t="s">
        <v>3394</v>
      </c>
      <c r="D324" s="35" t="s">
        <v>3395</v>
      </c>
      <c r="E324" s="19" t="s">
        <v>27</v>
      </c>
      <c r="F324" s="18" t="s">
        <v>3396</v>
      </c>
      <c r="G324" s="19" t="s">
        <v>3397</v>
      </c>
      <c r="H324" s="19" t="s">
        <v>3398</v>
      </c>
      <c r="I324" s="19" t="s">
        <v>3399</v>
      </c>
      <c r="J324" s="19" t="s">
        <v>3400</v>
      </c>
      <c r="K324" s="19" t="s">
        <v>3401</v>
      </c>
      <c r="L324" s="19" t="s">
        <v>3402</v>
      </c>
      <c r="M324" s="19" t="s">
        <v>35</v>
      </c>
      <c r="N324" s="19" t="s">
        <v>36</v>
      </c>
      <c r="O324" s="19" t="s">
        <v>37</v>
      </c>
      <c r="P324" s="19" t="s">
        <v>38</v>
      </c>
      <c r="Q324" s="19" t="str">
        <f t="shared" si="1"/>
        <v>HSK1-VOCAB-320</v>
      </c>
      <c r="R324" s="19" t="str">
        <f t="shared" si="2"/>
        <v>Chinese::HSK::HSK1::Vocabulary</v>
      </c>
      <c r="S324" s="21" t="s">
        <v>2123</v>
      </c>
      <c r="T324" s="4"/>
    </row>
    <row r="325" ht="30.0" customHeight="1">
      <c r="A325" s="34" t="s">
        <v>3403</v>
      </c>
      <c r="B325" s="35" t="s">
        <v>3404</v>
      </c>
      <c r="C325" s="35" t="s">
        <v>3405</v>
      </c>
      <c r="D325" s="35" t="s">
        <v>3406</v>
      </c>
      <c r="E325" s="19" t="s">
        <v>727</v>
      </c>
      <c r="F325" s="18" t="s">
        <v>3407</v>
      </c>
      <c r="G325" s="19" t="s">
        <v>3408</v>
      </c>
      <c r="H325" s="19" t="s">
        <v>3409</v>
      </c>
      <c r="I325" s="19" t="s">
        <v>3410</v>
      </c>
      <c r="J325" s="19" t="s">
        <v>3411</v>
      </c>
      <c r="K325" s="19" t="s">
        <v>3412</v>
      </c>
      <c r="L325" s="19" t="s">
        <v>3413</v>
      </c>
      <c r="M325" s="19" t="s">
        <v>35</v>
      </c>
      <c r="N325" s="19" t="s">
        <v>36</v>
      </c>
      <c r="O325" s="19" t="s">
        <v>37</v>
      </c>
      <c r="P325" s="19" t="s">
        <v>38</v>
      </c>
      <c r="Q325" s="19" t="str">
        <f t="shared" si="1"/>
        <v>HSK1-VOCAB-321</v>
      </c>
      <c r="R325" s="19" t="str">
        <f t="shared" si="2"/>
        <v>Chinese::HSK::HSK1::Vocabulary</v>
      </c>
      <c r="S325" s="21" t="s">
        <v>2123</v>
      </c>
      <c r="T325" s="4"/>
    </row>
    <row r="326" ht="30.0" customHeight="1">
      <c r="A326" s="34" t="s">
        <v>3414</v>
      </c>
      <c r="B326" s="35" t="s">
        <v>3415</v>
      </c>
      <c r="C326" s="35" t="s">
        <v>3416</v>
      </c>
      <c r="D326" s="35" t="s">
        <v>3417</v>
      </c>
      <c r="E326" s="19" t="s">
        <v>727</v>
      </c>
      <c r="F326" s="18" t="s">
        <v>3418</v>
      </c>
      <c r="G326" s="19" t="s">
        <v>3419</v>
      </c>
      <c r="H326" s="19" t="s">
        <v>3420</v>
      </c>
      <c r="I326" s="19" t="s">
        <v>3421</v>
      </c>
      <c r="J326" s="19" t="s">
        <v>3422</v>
      </c>
      <c r="K326" s="19" t="s">
        <v>3423</v>
      </c>
      <c r="L326" s="19" t="s">
        <v>3424</v>
      </c>
      <c r="M326" s="19" t="s">
        <v>35</v>
      </c>
      <c r="N326" s="19" t="s">
        <v>36</v>
      </c>
      <c r="O326" s="19" t="s">
        <v>37</v>
      </c>
      <c r="P326" s="19" t="s">
        <v>38</v>
      </c>
      <c r="Q326" s="19" t="str">
        <f t="shared" si="1"/>
        <v>HSK1-VOCAB-322</v>
      </c>
      <c r="R326" s="19" t="str">
        <f t="shared" si="2"/>
        <v>Chinese::HSK::HSK1::Vocabulary</v>
      </c>
      <c r="S326" s="21" t="s">
        <v>2123</v>
      </c>
      <c r="T326" s="4"/>
    </row>
    <row r="327" ht="30.0" customHeight="1">
      <c r="A327" s="34" t="s">
        <v>3425</v>
      </c>
      <c r="B327" s="35" t="s">
        <v>3426</v>
      </c>
      <c r="C327" s="35" t="s">
        <v>3427</v>
      </c>
      <c r="D327" s="35" t="s">
        <v>3428</v>
      </c>
      <c r="E327" s="19" t="s">
        <v>27</v>
      </c>
      <c r="F327" s="18" t="s">
        <v>3429</v>
      </c>
      <c r="G327" s="19" t="s">
        <v>3430</v>
      </c>
      <c r="H327" s="19" t="s">
        <v>3431</v>
      </c>
      <c r="I327" s="19" t="s">
        <v>3432</v>
      </c>
      <c r="J327" s="19" t="s">
        <v>3433</v>
      </c>
      <c r="K327" s="19" t="s">
        <v>3434</v>
      </c>
      <c r="L327" s="19" t="s">
        <v>3435</v>
      </c>
      <c r="M327" s="19" t="s">
        <v>35</v>
      </c>
      <c r="N327" s="19" t="s">
        <v>36</v>
      </c>
      <c r="O327" s="19" t="s">
        <v>37</v>
      </c>
      <c r="P327" s="19" t="s">
        <v>38</v>
      </c>
      <c r="Q327" s="19" t="str">
        <f t="shared" si="1"/>
        <v>HSK1-VOCAB-323</v>
      </c>
      <c r="R327" s="19" t="str">
        <f t="shared" si="2"/>
        <v>Chinese::HSK::HSK1::Vocabulary</v>
      </c>
      <c r="S327" s="21" t="s">
        <v>2123</v>
      </c>
      <c r="T327" s="4"/>
    </row>
    <row r="328" ht="30.0" customHeight="1">
      <c r="A328" s="34" t="s">
        <v>3436</v>
      </c>
      <c r="B328" s="35" t="s">
        <v>3437</v>
      </c>
      <c r="C328" s="35" t="s">
        <v>3438</v>
      </c>
      <c r="D328" s="35" t="s">
        <v>3439</v>
      </c>
      <c r="E328" s="19" t="s">
        <v>27</v>
      </c>
      <c r="F328" s="18" t="s">
        <v>3440</v>
      </c>
      <c r="G328" s="19" t="s">
        <v>3441</v>
      </c>
      <c r="H328" s="19" t="s">
        <v>3442</v>
      </c>
      <c r="I328" s="19" t="s">
        <v>3443</v>
      </c>
      <c r="J328" s="19" t="s">
        <v>3444</v>
      </c>
      <c r="K328" s="19" t="s">
        <v>3445</v>
      </c>
      <c r="L328" s="19" t="s">
        <v>3446</v>
      </c>
      <c r="M328" s="19" t="s">
        <v>35</v>
      </c>
      <c r="N328" s="19" t="s">
        <v>36</v>
      </c>
      <c r="O328" s="19" t="s">
        <v>37</v>
      </c>
      <c r="P328" s="19" t="s">
        <v>38</v>
      </c>
      <c r="Q328" s="19" t="str">
        <f t="shared" si="1"/>
        <v>HSK1-VOCAB-324</v>
      </c>
      <c r="R328" s="19" t="str">
        <f t="shared" si="2"/>
        <v>Chinese::HSK::HSK1::Vocabulary</v>
      </c>
      <c r="S328" s="21" t="s">
        <v>2123</v>
      </c>
      <c r="T328" s="4"/>
    </row>
    <row r="329" ht="30.0" customHeight="1">
      <c r="A329" s="34" t="s">
        <v>3447</v>
      </c>
      <c r="B329" s="35" t="s">
        <v>3448</v>
      </c>
      <c r="C329" s="35" t="s">
        <v>3449</v>
      </c>
      <c r="D329" s="35" t="s">
        <v>3450</v>
      </c>
      <c r="E329" s="19" t="s">
        <v>27</v>
      </c>
      <c r="F329" s="18" t="s">
        <v>3451</v>
      </c>
      <c r="G329" s="19" t="s">
        <v>3452</v>
      </c>
      <c r="H329" s="19" t="s">
        <v>3453</v>
      </c>
      <c r="I329" s="19" t="s">
        <v>1739</v>
      </c>
      <c r="J329" s="19" t="s">
        <v>3454</v>
      </c>
      <c r="K329" s="19" t="s">
        <v>1741</v>
      </c>
      <c r="L329" s="19" t="s">
        <v>3455</v>
      </c>
      <c r="M329" s="19" t="s">
        <v>35</v>
      </c>
      <c r="N329" s="19" t="s">
        <v>36</v>
      </c>
      <c r="O329" s="19" t="s">
        <v>37</v>
      </c>
      <c r="P329" s="19" t="s">
        <v>38</v>
      </c>
      <c r="Q329" s="19" t="str">
        <f t="shared" si="1"/>
        <v>HSK1-VOCAB-325</v>
      </c>
      <c r="R329" s="19" t="str">
        <f t="shared" si="2"/>
        <v>Chinese::HSK::HSK1::Vocabulary</v>
      </c>
      <c r="S329" s="21" t="s">
        <v>2123</v>
      </c>
      <c r="T329" s="4"/>
    </row>
    <row r="330" ht="30.0" customHeight="1">
      <c r="A330" s="34" t="s">
        <v>3456</v>
      </c>
      <c r="B330" s="35" t="s">
        <v>3457</v>
      </c>
      <c r="C330" s="35" t="s">
        <v>3458</v>
      </c>
      <c r="D330" s="35" t="s">
        <v>3459</v>
      </c>
      <c r="E330" s="19" t="s">
        <v>27</v>
      </c>
      <c r="F330" s="18" t="s">
        <v>3460</v>
      </c>
      <c r="G330" s="19" t="s">
        <v>3461</v>
      </c>
      <c r="H330" s="19" t="s">
        <v>3462</v>
      </c>
      <c r="I330" s="19" t="s">
        <v>3463</v>
      </c>
      <c r="J330" s="19" t="s">
        <v>3464</v>
      </c>
      <c r="K330" s="19" t="s">
        <v>3465</v>
      </c>
      <c r="L330" s="19" t="s">
        <v>3466</v>
      </c>
      <c r="M330" s="19" t="s">
        <v>35</v>
      </c>
      <c r="N330" s="19" t="s">
        <v>36</v>
      </c>
      <c r="O330" s="19" t="s">
        <v>37</v>
      </c>
      <c r="P330" s="19" t="s">
        <v>38</v>
      </c>
      <c r="Q330" s="19" t="str">
        <f t="shared" si="1"/>
        <v>HSK1-VOCAB-326</v>
      </c>
      <c r="R330" s="19" t="str">
        <f t="shared" si="2"/>
        <v>Chinese::HSK::HSK1::Vocabulary</v>
      </c>
      <c r="S330" s="21" t="s">
        <v>2123</v>
      </c>
      <c r="T330" s="4"/>
    </row>
    <row r="331" ht="30.0" customHeight="1">
      <c r="A331" s="34" t="s">
        <v>3467</v>
      </c>
      <c r="B331" s="35" t="s">
        <v>3468</v>
      </c>
      <c r="C331" s="35" t="s">
        <v>3469</v>
      </c>
      <c r="D331" s="35" t="s">
        <v>3470</v>
      </c>
      <c r="E331" s="19" t="s">
        <v>27</v>
      </c>
      <c r="F331" s="18" t="s">
        <v>3471</v>
      </c>
      <c r="G331" s="19" t="s">
        <v>2671</v>
      </c>
      <c r="H331" s="19" t="s">
        <v>3472</v>
      </c>
      <c r="I331" s="19" t="s">
        <v>3473</v>
      </c>
      <c r="J331" s="19" t="s">
        <v>3474</v>
      </c>
      <c r="K331" s="19" t="s">
        <v>3475</v>
      </c>
      <c r="L331" s="19" t="s">
        <v>3476</v>
      </c>
      <c r="M331" s="19" t="s">
        <v>35</v>
      </c>
      <c r="N331" s="19" t="s">
        <v>36</v>
      </c>
      <c r="O331" s="19" t="s">
        <v>37</v>
      </c>
      <c r="P331" s="19" t="s">
        <v>38</v>
      </c>
      <c r="Q331" s="19" t="str">
        <f t="shared" si="1"/>
        <v>HSK1-VOCAB-327</v>
      </c>
      <c r="R331" s="19" t="str">
        <f t="shared" si="2"/>
        <v>Chinese::HSK::HSK1::Vocabulary</v>
      </c>
      <c r="S331" s="21" t="s">
        <v>2123</v>
      </c>
      <c r="T331" s="4"/>
    </row>
    <row r="332" ht="30.0" customHeight="1">
      <c r="A332" s="34" t="s">
        <v>3477</v>
      </c>
      <c r="B332" s="35" t="s">
        <v>3478</v>
      </c>
      <c r="C332" s="35" t="s">
        <v>3479</v>
      </c>
      <c r="D332" s="35" t="s">
        <v>3480</v>
      </c>
      <c r="E332" s="19" t="s">
        <v>27</v>
      </c>
      <c r="F332" s="18" t="s">
        <v>3481</v>
      </c>
      <c r="G332" s="19" t="s">
        <v>3482</v>
      </c>
      <c r="H332" s="19" t="s">
        <v>3483</v>
      </c>
      <c r="I332" s="19" t="s">
        <v>3484</v>
      </c>
      <c r="J332" s="19" t="s">
        <v>3485</v>
      </c>
      <c r="K332" s="19" t="s">
        <v>3486</v>
      </c>
      <c r="L332" s="19" t="s">
        <v>3487</v>
      </c>
      <c r="M332" s="19" t="s">
        <v>35</v>
      </c>
      <c r="N332" s="19" t="s">
        <v>36</v>
      </c>
      <c r="O332" s="19" t="s">
        <v>37</v>
      </c>
      <c r="P332" s="19" t="s">
        <v>38</v>
      </c>
      <c r="Q332" s="19" t="str">
        <f t="shared" si="1"/>
        <v>HSK1-VOCAB-328</v>
      </c>
      <c r="R332" s="19" t="str">
        <f t="shared" si="2"/>
        <v>Chinese::HSK::HSK1::Vocabulary</v>
      </c>
      <c r="S332" s="21" t="s">
        <v>2123</v>
      </c>
      <c r="T332" s="4"/>
    </row>
    <row r="333" ht="30.0" customHeight="1">
      <c r="A333" s="34" t="s">
        <v>3488</v>
      </c>
      <c r="B333" s="35" t="s">
        <v>3489</v>
      </c>
      <c r="C333" s="35" t="s">
        <v>3490</v>
      </c>
      <c r="D333" s="35" t="s">
        <v>3491</v>
      </c>
      <c r="E333" s="19" t="s">
        <v>27</v>
      </c>
      <c r="F333" s="18" t="s">
        <v>3492</v>
      </c>
      <c r="G333" s="19" t="s">
        <v>3493</v>
      </c>
      <c r="H333" s="19" t="s">
        <v>3494</v>
      </c>
      <c r="I333" s="19" t="s">
        <v>3495</v>
      </c>
      <c r="J333" s="19" t="s">
        <v>3496</v>
      </c>
      <c r="K333" s="19" t="s">
        <v>3497</v>
      </c>
      <c r="L333" s="19" t="s">
        <v>3498</v>
      </c>
      <c r="M333" s="19" t="s">
        <v>35</v>
      </c>
      <c r="N333" s="19" t="s">
        <v>36</v>
      </c>
      <c r="O333" s="19" t="s">
        <v>37</v>
      </c>
      <c r="P333" s="19" t="s">
        <v>38</v>
      </c>
      <c r="Q333" s="19" t="str">
        <f t="shared" si="1"/>
        <v>HSK1-VOCAB-329</v>
      </c>
      <c r="R333" s="19" t="str">
        <f t="shared" si="2"/>
        <v>Chinese::HSK::HSK1::Vocabulary</v>
      </c>
      <c r="S333" s="21" t="s">
        <v>2123</v>
      </c>
      <c r="T333" s="4"/>
    </row>
    <row r="334" ht="30.0" customHeight="1">
      <c r="A334" s="34" t="s">
        <v>3499</v>
      </c>
      <c r="B334" s="35" t="s">
        <v>3500</v>
      </c>
      <c r="C334" s="35" t="s">
        <v>3501</v>
      </c>
      <c r="D334" s="35" t="s">
        <v>3502</v>
      </c>
      <c r="E334" s="19" t="s">
        <v>27</v>
      </c>
      <c r="F334" s="18" t="s">
        <v>3503</v>
      </c>
      <c r="G334" s="19" t="s">
        <v>3504</v>
      </c>
      <c r="H334" s="19" t="s">
        <v>3505</v>
      </c>
      <c r="I334" s="19" t="s">
        <v>3506</v>
      </c>
      <c r="J334" s="19" t="s">
        <v>3507</v>
      </c>
      <c r="K334" s="19" t="s">
        <v>3508</v>
      </c>
      <c r="L334" s="19" t="s">
        <v>3509</v>
      </c>
      <c r="M334" s="19" t="s">
        <v>35</v>
      </c>
      <c r="N334" s="19" t="s">
        <v>36</v>
      </c>
      <c r="O334" s="19" t="s">
        <v>37</v>
      </c>
      <c r="P334" s="19" t="s">
        <v>38</v>
      </c>
      <c r="Q334" s="19" t="str">
        <f t="shared" si="1"/>
        <v>HSK1-VOCAB-330</v>
      </c>
      <c r="R334" s="19" t="str">
        <f t="shared" si="2"/>
        <v>Chinese::HSK::HSK1::Vocabulary</v>
      </c>
      <c r="S334" s="21" t="s">
        <v>2123</v>
      </c>
      <c r="T334" s="4"/>
    </row>
    <row r="335">
      <c r="A335" s="34" t="s">
        <v>3510</v>
      </c>
      <c r="B335" s="35" t="s">
        <v>3511</v>
      </c>
      <c r="C335" s="35" t="s">
        <v>3512</v>
      </c>
      <c r="D335" s="35" t="s">
        <v>3513</v>
      </c>
      <c r="E335" s="19" t="s">
        <v>513</v>
      </c>
      <c r="F335" s="18" t="s">
        <v>3514</v>
      </c>
      <c r="G335" s="19" t="s">
        <v>3515</v>
      </c>
      <c r="H335" s="19" t="s">
        <v>3516</v>
      </c>
      <c r="I335" s="19" t="s">
        <v>3517</v>
      </c>
      <c r="J335" s="19" t="s">
        <v>3518</v>
      </c>
      <c r="K335" s="19" t="s">
        <v>3519</v>
      </c>
      <c r="L335" s="19" t="s">
        <v>3520</v>
      </c>
      <c r="M335" s="19" t="s">
        <v>35</v>
      </c>
      <c r="N335" s="19" t="s">
        <v>36</v>
      </c>
      <c r="O335" s="19" t="s">
        <v>37</v>
      </c>
      <c r="P335" s="19" t="s">
        <v>38</v>
      </c>
      <c r="Q335" s="19" t="str">
        <f t="shared" si="1"/>
        <v>HSK1-VOCAB-331</v>
      </c>
      <c r="R335" s="19" t="str">
        <f t="shared" si="2"/>
        <v>Chinese::HSK::HSK1::Vocabulary</v>
      </c>
      <c r="S335" s="21" t="s">
        <v>2123</v>
      </c>
      <c r="T335" s="4"/>
    </row>
    <row r="336" ht="30.0" customHeight="1">
      <c r="A336" s="34" t="s">
        <v>3521</v>
      </c>
      <c r="B336" s="35" t="s">
        <v>3522</v>
      </c>
      <c r="C336" s="35" t="s">
        <v>3523</v>
      </c>
      <c r="D336" s="35" t="s">
        <v>3524</v>
      </c>
      <c r="E336" s="19" t="s">
        <v>27</v>
      </c>
      <c r="F336" s="18" t="s">
        <v>3525</v>
      </c>
      <c r="G336" s="19" t="s">
        <v>3526</v>
      </c>
      <c r="H336" s="19" t="s">
        <v>3527</v>
      </c>
      <c r="I336" s="19" t="s">
        <v>3528</v>
      </c>
      <c r="J336" s="19" t="s">
        <v>3529</v>
      </c>
      <c r="K336" s="19" t="s">
        <v>3530</v>
      </c>
      <c r="L336" s="19" t="s">
        <v>3531</v>
      </c>
      <c r="M336" s="19" t="s">
        <v>35</v>
      </c>
      <c r="N336" s="19" t="s">
        <v>36</v>
      </c>
      <c r="O336" s="19" t="s">
        <v>37</v>
      </c>
      <c r="P336" s="19" t="s">
        <v>38</v>
      </c>
      <c r="Q336" s="19" t="str">
        <f t="shared" si="1"/>
        <v>HSK1-VOCAB-332</v>
      </c>
      <c r="R336" s="19" t="str">
        <f t="shared" si="2"/>
        <v>Chinese::HSK::HSK1::Vocabulary</v>
      </c>
      <c r="S336" s="21" t="s">
        <v>2123</v>
      </c>
      <c r="T336" s="4"/>
    </row>
    <row r="337" ht="30.0" customHeight="1">
      <c r="A337" s="34" t="s">
        <v>3532</v>
      </c>
      <c r="B337" s="35" t="s">
        <v>3533</v>
      </c>
      <c r="C337" s="35" t="s">
        <v>3534</v>
      </c>
      <c r="D337" s="35" t="s">
        <v>3535</v>
      </c>
      <c r="E337" s="19" t="s">
        <v>27</v>
      </c>
      <c r="F337" s="18" t="s">
        <v>3536</v>
      </c>
      <c r="G337" s="19" t="s">
        <v>3537</v>
      </c>
      <c r="H337" s="19" t="s">
        <v>3538</v>
      </c>
      <c r="I337" s="19" t="s">
        <v>3539</v>
      </c>
      <c r="J337" s="19" t="s">
        <v>3540</v>
      </c>
      <c r="K337" s="19" t="s">
        <v>3541</v>
      </c>
      <c r="L337" s="19" t="s">
        <v>3542</v>
      </c>
      <c r="M337" s="19" t="s">
        <v>35</v>
      </c>
      <c r="N337" s="19" t="s">
        <v>36</v>
      </c>
      <c r="O337" s="19" t="s">
        <v>37</v>
      </c>
      <c r="P337" s="19" t="s">
        <v>38</v>
      </c>
      <c r="Q337" s="19" t="str">
        <f t="shared" si="1"/>
        <v>HSK1-VOCAB-333</v>
      </c>
      <c r="R337" s="19" t="str">
        <f t="shared" si="2"/>
        <v>Chinese::HSK::HSK1::Vocabulary</v>
      </c>
      <c r="S337" s="21" t="s">
        <v>2240</v>
      </c>
      <c r="T337" s="4"/>
    </row>
    <row r="338" ht="30.0" customHeight="1">
      <c r="A338" s="34" t="s">
        <v>3543</v>
      </c>
      <c r="B338" s="35" t="s">
        <v>3544</v>
      </c>
      <c r="C338" s="35" t="s">
        <v>3545</v>
      </c>
      <c r="D338" s="35" t="s">
        <v>3546</v>
      </c>
      <c r="E338" s="19" t="s">
        <v>727</v>
      </c>
      <c r="F338" s="18" t="s">
        <v>3547</v>
      </c>
      <c r="G338" s="19" t="s">
        <v>3548</v>
      </c>
      <c r="H338" s="19" t="s">
        <v>3549</v>
      </c>
      <c r="I338" s="19" t="s">
        <v>3550</v>
      </c>
      <c r="J338" s="19" t="s">
        <v>3551</v>
      </c>
      <c r="K338" s="19" t="s">
        <v>3552</v>
      </c>
      <c r="L338" s="19" t="s">
        <v>3553</v>
      </c>
      <c r="M338" s="19" t="s">
        <v>35</v>
      </c>
      <c r="N338" s="19" t="s">
        <v>36</v>
      </c>
      <c r="O338" s="19" t="s">
        <v>37</v>
      </c>
      <c r="P338" s="19" t="s">
        <v>38</v>
      </c>
      <c r="Q338" s="19" t="str">
        <f t="shared" si="1"/>
        <v>HSK1-VOCAB-334</v>
      </c>
      <c r="R338" s="19" t="str">
        <f t="shared" si="2"/>
        <v>Chinese::HSK::HSK1::Vocabulary</v>
      </c>
      <c r="S338" s="21" t="s">
        <v>2123</v>
      </c>
      <c r="T338" s="4"/>
    </row>
    <row r="339" ht="30.0" customHeight="1">
      <c r="A339" s="39" t="s">
        <v>3554</v>
      </c>
      <c r="B339" s="35" t="str">
        <f t="shared" ref="B339:B354" si="11">pinyin(A339)</f>
        <v>shìqing</v>
      </c>
      <c r="C339" s="35" t="str">
        <f t="shared" ref="C339:C346" si="12">en_translate(A339)</f>
        <v>matter</v>
      </c>
      <c r="D339" s="35" t="str">
        <f t="shared" ref="D339:D341" si="13">vi_translate(A339)</f>
        <v>vấn đề</v>
      </c>
      <c r="E339" s="20" t="s">
        <v>27</v>
      </c>
      <c r="F339" s="41" t="s">
        <v>3555</v>
      </c>
      <c r="G339" s="20" t="s">
        <v>3556</v>
      </c>
      <c r="H339" s="20" t="s">
        <v>3557</v>
      </c>
      <c r="I339" s="20" t="s">
        <v>3558</v>
      </c>
      <c r="J339" s="20" t="s">
        <v>3559</v>
      </c>
      <c r="K339" s="20" t="s">
        <v>3560</v>
      </c>
      <c r="L339" s="20" t="s">
        <v>3561</v>
      </c>
      <c r="M339" s="19" t="s">
        <v>35</v>
      </c>
      <c r="N339" s="19" t="s">
        <v>36</v>
      </c>
      <c r="O339" s="19" t="s">
        <v>37</v>
      </c>
      <c r="P339" s="19" t="s">
        <v>38</v>
      </c>
      <c r="Q339" s="19" t="str">
        <f t="shared" si="1"/>
        <v>HSK1-VOCAB-335</v>
      </c>
      <c r="R339" s="19" t="str">
        <f t="shared" si="2"/>
        <v>Chinese::HSK::HSK1::Vocabulary</v>
      </c>
      <c r="S339" s="20" t="s">
        <v>1149</v>
      </c>
      <c r="T339" s="19"/>
    </row>
    <row r="340" ht="30.0" customHeight="1">
      <c r="A340" s="39" t="s">
        <v>3562</v>
      </c>
      <c r="B340" s="35" t="str">
        <f t="shared" si="11"/>
        <v>fāngfǎ</v>
      </c>
      <c r="C340" s="35" t="str">
        <f t="shared" si="12"/>
        <v>method</v>
      </c>
      <c r="D340" s="35" t="str">
        <f t="shared" si="13"/>
        <v>phương pháp</v>
      </c>
      <c r="E340" s="20" t="s">
        <v>27</v>
      </c>
      <c r="F340" s="31" t="s">
        <v>3563</v>
      </c>
      <c r="G340" s="20" t="s">
        <v>3564</v>
      </c>
      <c r="H340" s="20" t="s">
        <v>3565</v>
      </c>
      <c r="I340" s="20" t="s">
        <v>3566</v>
      </c>
      <c r="J340" s="20" t="s">
        <v>3567</v>
      </c>
      <c r="K340" s="20" t="s">
        <v>3568</v>
      </c>
      <c r="L340" s="20" t="s">
        <v>3561</v>
      </c>
      <c r="M340" s="19" t="s">
        <v>35</v>
      </c>
      <c r="N340" s="19" t="s">
        <v>36</v>
      </c>
      <c r="O340" s="19" t="s">
        <v>37</v>
      </c>
      <c r="P340" s="19" t="s">
        <v>38</v>
      </c>
      <c r="Q340" s="19" t="str">
        <f t="shared" si="1"/>
        <v>HSK1-VOCAB-336</v>
      </c>
      <c r="R340" s="19" t="str">
        <f t="shared" si="2"/>
        <v>Chinese::HSK::HSK1::Vocabulary</v>
      </c>
      <c r="S340" s="20" t="s">
        <v>2240</v>
      </c>
      <c r="T340" s="19"/>
    </row>
    <row r="341" ht="30.0" customHeight="1">
      <c r="A341" s="39" t="s">
        <v>3569</v>
      </c>
      <c r="B341" s="35" t="str">
        <f t="shared" si="11"/>
        <v>diànyǐngpiào</v>
      </c>
      <c r="C341" s="35" t="str">
        <f t="shared" si="12"/>
        <v>Movie tickets</v>
      </c>
      <c r="D341" s="35" t="str">
        <f t="shared" si="13"/>
        <v>Vé xem phim</v>
      </c>
      <c r="E341" s="20" t="s">
        <v>27</v>
      </c>
      <c r="F341" s="31" t="s">
        <v>3570</v>
      </c>
      <c r="G341" s="20" t="s">
        <v>3571</v>
      </c>
      <c r="H341" s="20" t="s">
        <v>3572</v>
      </c>
      <c r="I341" s="20" t="s">
        <v>3573</v>
      </c>
      <c r="J341" s="20" t="s">
        <v>3574</v>
      </c>
      <c r="K341" s="20" t="s">
        <v>3575</v>
      </c>
      <c r="L341" s="20" t="s">
        <v>3576</v>
      </c>
      <c r="M341" s="19" t="s">
        <v>35</v>
      </c>
      <c r="N341" s="19" t="s">
        <v>36</v>
      </c>
      <c r="O341" s="19" t="s">
        <v>37</v>
      </c>
      <c r="P341" s="19" t="s">
        <v>38</v>
      </c>
      <c r="Q341" s="19" t="str">
        <f t="shared" si="1"/>
        <v>HSK1-VOCAB-337</v>
      </c>
      <c r="R341" s="19" t="str">
        <f t="shared" si="2"/>
        <v>Chinese::HSK::HSK1::Vocabulary</v>
      </c>
      <c r="S341" s="20" t="s">
        <v>2240</v>
      </c>
      <c r="T341" s="19"/>
    </row>
    <row r="342" ht="30.0" customHeight="1">
      <c r="A342" s="39" t="s">
        <v>3577</v>
      </c>
      <c r="B342" s="35" t="str">
        <f t="shared" si="11"/>
        <v>chēpiào</v>
      </c>
      <c r="C342" s="35" t="str">
        <f t="shared" si="12"/>
        <v>ticket</v>
      </c>
      <c r="D342" s="36" t="s">
        <v>3578</v>
      </c>
      <c r="E342" s="20" t="s">
        <v>27</v>
      </c>
      <c r="F342" s="31" t="s">
        <v>3579</v>
      </c>
      <c r="G342" s="20" t="s">
        <v>3580</v>
      </c>
      <c r="H342" s="20" t="s">
        <v>3581</v>
      </c>
      <c r="I342" s="20" t="s">
        <v>3582</v>
      </c>
      <c r="J342" s="20" t="s">
        <v>3583</v>
      </c>
      <c r="K342" s="20" t="s">
        <v>3584</v>
      </c>
      <c r="L342" s="20" t="s">
        <v>3585</v>
      </c>
      <c r="M342" s="19" t="s">
        <v>35</v>
      </c>
      <c r="N342" s="19" t="s">
        <v>36</v>
      </c>
      <c r="O342" s="19" t="s">
        <v>37</v>
      </c>
      <c r="P342" s="19" t="s">
        <v>38</v>
      </c>
      <c r="Q342" s="19" t="str">
        <f t="shared" si="1"/>
        <v>HSK1-VOCAB-338</v>
      </c>
      <c r="R342" s="19" t="str">
        <f t="shared" si="2"/>
        <v>Chinese::HSK::HSK1::Vocabulary</v>
      </c>
      <c r="S342" s="20" t="s">
        <v>2240</v>
      </c>
      <c r="T342" s="19"/>
    </row>
    <row r="343" ht="30.0" customHeight="1">
      <c r="A343" s="39" t="s">
        <v>3586</v>
      </c>
      <c r="B343" s="35" t="str">
        <f t="shared" si="11"/>
        <v>liàng</v>
      </c>
      <c r="C343" s="35" t="str">
        <f t="shared" si="12"/>
        <v>Bright</v>
      </c>
      <c r="D343" s="35" t="str">
        <f>vi_translate(A343)</f>
        <v>Sáng</v>
      </c>
      <c r="E343" s="20" t="s">
        <v>240</v>
      </c>
      <c r="F343" s="31" t="s">
        <v>3587</v>
      </c>
      <c r="G343" s="20" t="s">
        <v>3588</v>
      </c>
      <c r="H343" s="20" t="s">
        <v>3589</v>
      </c>
      <c r="I343" s="20" t="s">
        <v>3590</v>
      </c>
      <c r="J343" s="20" t="s">
        <v>3591</v>
      </c>
      <c r="K343" s="20" t="s">
        <v>3592</v>
      </c>
      <c r="L343" s="20" t="s">
        <v>3593</v>
      </c>
      <c r="M343" s="19" t="s">
        <v>35</v>
      </c>
      <c r="N343" s="19" t="s">
        <v>36</v>
      </c>
      <c r="O343" s="19" t="s">
        <v>37</v>
      </c>
      <c r="P343" s="19" t="s">
        <v>38</v>
      </c>
      <c r="Q343" s="19" t="str">
        <f t="shared" si="1"/>
        <v>HSK1-VOCAB-339</v>
      </c>
      <c r="R343" s="19" t="str">
        <f t="shared" si="2"/>
        <v>Chinese::HSK::HSK1::Vocabulary</v>
      </c>
      <c r="S343" s="20" t="s">
        <v>2240</v>
      </c>
      <c r="T343" s="19"/>
    </row>
    <row r="344" ht="30.0" customHeight="1">
      <c r="A344" s="39" t="s">
        <v>3594</v>
      </c>
      <c r="B344" s="35" t="str">
        <f t="shared" si="11"/>
        <v>nénglì</v>
      </c>
      <c r="C344" s="35" t="str">
        <f t="shared" si="12"/>
        <v>ability</v>
      </c>
      <c r="D344" s="36" t="s">
        <v>3595</v>
      </c>
      <c r="E344" s="20" t="s">
        <v>27</v>
      </c>
      <c r="F344" s="31" t="s">
        <v>3596</v>
      </c>
      <c r="G344" s="20" t="s">
        <v>3597</v>
      </c>
      <c r="H344" s="20" t="s">
        <v>3598</v>
      </c>
      <c r="I344" s="20" t="s">
        <v>3599</v>
      </c>
      <c r="J344" s="20" t="s">
        <v>3600</v>
      </c>
      <c r="K344" s="20" t="s">
        <v>3601</v>
      </c>
      <c r="L344" s="20" t="s">
        <v>3602</v>
      </c>
      <c r="M344" s="19" t="s">
        <v>35</v>
      </c>
      <c r="N344" s="19" t="s">
        <v>36</v>
      </c>
      <c r="O344" s="19" t="s">
        <v>37</v>
      </c>
      <c r="P344" s="19" t="s">
        <v>38</v>
      </c>
      <c r="Q344" s="19" t="str">
        <f t="shared" si="1"/>
        <v>HSK1-VOCAB-340</v>
      </c>
      <c r="R344" s="19" t="str">
        <f t="shared" si="2"/>
        <v>Chinese::HSK::HSK1::Vocabulary</v>
      </c>
      <c r="S344" s="20" t="s">
        <v>2240</v>
      </c>
      <c r="T344" s="19"/>
    </row>
    <row r="345" ht="30.0" customHeight="1">
      <c r="A345" s="39" t="s">
        <v>3603</v>
      </c>
      <c r="B345" s="35" t="str">
        <f t="shared" si="11"/>
        <v>bìngrén</v>
      </c>
      <c r="C345" s="35" t="str">
        <f t="shared" si="12"/>
        <v>patient</v>
      </c>
      <c r="D345" s="35" t="str">
        <f t="shared" ref="D345:D346" si="14">vi_translate(A345)</f>
        <v>kiên nhẫn</v>
      </c>
      <c r="E345" s="20" t="s">
        <v>27</v>
      </c>
      <c r="F345" s="31" t="s">
        <v>3604</v>
      </c>
      <c r="G345" s="20" t="s">
        <v>3605</v>
      </c>
      <c r="H345" s="20" t="s">
        <v>3606</v>
      </c>
      <c r="I345" s="20" t="s">
        <v>3607</v>
      </c>
      <c r="J345" s="20" t="s">
        <v>3608</v>
      </c>
      <c r="K345" s="20" t="s">
        <v>3609</v>
      </c>
      <c r="L345" s="20" t="s">
        <v>125</v>
      </c>
      <c r="M345" s="19" t="s">
        <v>35</v>
      </c>
      <c r="N345" s="19" t="s">
        <v>36</v>
      </c>
      <c r="O345" s="19" t="s">
        <v>37</v>
      </c>
      <c r="P345" s="19" t="s">
        <v>38</v>
      </c>
      <c r="Q345" s="19" t="str">
        <f t="shared" si="1"/>
        <v>HSK1-VOCAB-341</v>
      </c>
      <c r="R345" s="19" t="str">
        <f t="shared" si="2"/>
        <v>Chinese::HSK::HSK1::Vocabulary</v>
      </c>
      <c r="S345" s="20" t="s">
        <v>2240</v>
      </c>
      <c r="T345" s="19"/>
    </row>
    <row r="346" ht="30.0" customHeight="1">
      <c r="A346" s="39" t="s">
        <v>3610</v>
      </c>
      <c r="B346" s="35" t="str">
        <f t="shared" si="11"/>
        <v>bùnéng</v>
      </c>
      <c r="C346" s="35" t="str">
        <f t="shared" si="12"/>
        <v>cannot</v>
      </c>
      <c r="D346" s="35" t="str">
        <f t="shared" si="14"/>
        <v>không thể</v>
      </c>
      <c r="E346" s="20" t="s">
        <v>27</v>
      </c>
      <c r="F346" s="31" t="s">
        <v>3611</v>
      </c>
      <c r="G346" s="20" t="s">
        <v>3612</v>
      </c>
      <c r="H346" s="20" t="s">
        <v>3613</v>
      </c>
      <c r="I346" s="20" t="s">
        <v>3614</v>
      </c>
      <c r="J346" s="20" t="s">
        <v>3615</v>
      </c>
      <c r="K346" s="20" t="s">
        <v>3616</v>
      </c>
      <c r="L346" s="20" t="s">
        <v>3617</v>
      </c>
      <c r="M346" s="19" t="s">
        <v>35</v>
      </c>
      <c r="N346" s="19" t="s">
        <v>36</v>
      </c>
      <c r="O346" s="19" t="s">
        <v>37</v>
      </c>
      <c r="P346" s="19" t="s">
        <v>38</v>
      </c>
      <c r="Q346" s="19" t="str">
        <f t="shared" si="1"/>
        <v>HSK1-VOCAB-342</v>
      </c>
      <c r="R346" s="19" t="str">
        <f t="shared" si="2"/>
        <v>Chinese::HSK::HSK1::Vocabulary</v>
      </c>
      <c r="S346" s="20" t="s">
        <v>2240</v>
      </c>
      <c r="T346" s="19"/>
    </row>
    <row r="347" ht="30.0" customHeight="1">
      <c r="A347" s="39" t="s">
        <v>3618</v>
      </c>
      <c r="B347" s="35" t="str">
        <f t="shared" si="11"/>
        <v>hú</v>
      </c>
      <c r="C347" s="36" t="s">
        <v>3619</v>
      </c>
      <c r="D347" s="36" t="s">
        <v>3620</v>
      </c>
      <c r="E347" s="20" t="s">
        <v>27</v>
      </c>
      <c r="F347" s="31" t="s">
        <v>3621</v>
      </c>
      <c r="G347" s="20" t="s">
        <v>3622</v>
      </c>
      <c r="H347" s="20" t="s">
        <v>3623</v>
      </c>
      <c r="I347" s="20" t="s">
        <v>3624</v>
      </c>
      <c r="J347" s="20" t="s">
        <v>3625</v>
      </c>
      <c r="K347" s="20" t="s">
        <v>3626</v>
      </c>
      <c r="L347" s="20" t="s">
        <v>3627</v>
      </c>
      <c r="M347" s="19" t="s">
        <v>35</v>
      </c>
      <c r="N347" s="19" t="s">
        <v>36</v>
      </c>
      <c r="O347" s="19" t="s">
        <v>37</v>
      </c>
      <c r="P347" s="19" t="s">
        <v>38</v>
      </c>
      <c r="Q347" s="19" t="str">
        <f t="shared" si="1"/>
        <v>HSK1-VOCAB-343</v>
      </c>
      <c r="R347" s="19" t="str">
        <f t="shared" si="2"/>
        <v>Chinese::HSK::HSK1::Vocabulary</v>
      </c>
      <c r="S347" s="20" t="s">
        <v>2240</v>
      </c>
      <c r="T347" s="19"/>
    </row>
    <row r="348" ht="30.0" customHeight="1">
      <c r="A348" s="39"/>
      <c r="B348" s="35" t="str">
        <f t="shared" si="11"/>
        <v/>
      </c>
      <c r="C348" s="35" t="str">
        <f t="shared" ref="C348:C354" si="15">en_translate(A348)</f>
        <v/>
      </c>
      <c r="D348" s="35" t="str">
        <f t="shared" ref="D348:D354" si="16">vi_translate(A348)</f>
        <v/>
      </c>
      <c r="E348" s="20"/>
      <c r="F348" s="31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ht="30.0" customHeight="1">
      <c r="A349" s="39"/>
      <c r="B349" s="35" t="str">
        <f t="shared" si="11"/>
        <v/>
      </c>
      <c r="C349" s="35" t="str">
        <f t="shared" si="15"/>
        <v/>
      </c>
      <c r="D349" s="35" t="str">
        <f t="shared" si="16"/>
        <v/>
      </c>
      <c r="E349" s="20"/>
      <c r="F349" s="31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ht="30.0" customHeight="1">
      <c r="A350" s="39"/>
      <c r="B350" s="35" t="str">
        <f t="shared" si="11"/>
        <v/>
      </c>
      <c r="C350" s="35" t="str">
        <f t="shared" si="15"/>
        <v/>
      </c>
      <c r="D350" s="35" t="str">
        <f t="shared" si="16"/>
        <v/>
      </c>
      <c r="E350" s="20"/>
      <c r="F350" s="31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ht="30.0" customHeight="1">
      <c r="A351" s="39"/>
      <c r="B351" s="35" t="str">
        <f t="shared" si="11"/>
        <v/>
      </c>
      <c r="C351" s="35" t="str">
        <f t="shared" si="15"/>
        <v/>
      </c>
      <c r="D351" s="35" t="str">
        <f t="shared" si="16"/>
        <v/>
      </c>
      <c r="E351" s="20"/>
      <c r="F351" s="31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ht="30.0" customHeight="1">
      <c r="A352" s="39"/>
      <c r="B352" s="35" t="str">
        <f t="shared" si="11"/>
        <v/>
      </c>
      <c r="C352" s="35" t="str">
        <f t="shared" si="15"/>
        <v/>
      </c>
      <c r="D352" s="35" t="str">
        <f t="shared" si="16"/>
        <v/>
      </c>
      <c r="E352" s="20"/>
      <c r="F352" s="31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ht="30.0" customHeight="1">
      <c r="A353" s="39"/>
      <c r="B353" s="35" t="str">
        <f t="shared" si="11"/>
        <v/>
      </c>
      <c r="C353" s="35" t="str">
        <f t="shared" si="15"/>
        <v/>
      </c>
      <c r="D353" s="35" t="str">
        <f t="shared" si="16"/>
        <v/>
      </c>
      <c r="E353" s="20"/>
      <c r="F353" s="31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ht="30.0" customHeight="1">
      <c r="A354" s="39"/>
      <c r="B354" s="35" t="str">
        <f t="shared" si="11"/>
        <v/>
      </c>
      <c r="C354" s="35" t="str">
        <f t="shared" si="15"/>
        <v/>
      </c>
      <c r="D354" s="35" t="str">
        <f t="shared" si="16"/>
        <v/>
      </c>
      <c r="E354" s="20"/>
      <c r="F354" s="31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</sheetData>
  <conditionalFormatting sqref="A1:A2 A5:A354">
    <cfRule type="expression" dxfId="0" priority="1">
      <formula>countif(A:A,A1)&gt;1</formula>
    </cfRule>
  </conditionalFormatting>
  <drawing r:id="rId2"/>
  <legacyDrawing r:id="rId3"/>
</worksheet>
</file>